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hidePivotFieldList="1"/>
  <mc:AlternateContent xmlns:mc="http://schemas.openxmlformats.org/markup-compatibility/2006">
    <mc:Choice Requires="x15">
      <x15ac:absPath xmlns:x15ac="http://schemas.microsoft.com/office/spreadsheetml/2010/11/ac" url="C:\Users\DELL\OneDrive\Documents\Market Survey Project\"/>
    </mc:Choice>
  </mc:AlternateContent>
  <xr:revisionPtr revIDLastSave="0" documentId="13_ncr:1_{F99842C6-C7DD-4D9D-9BAC-9CFB0B1E8F2C}" xr6:coauthVersionLast="47" xr6:coauthVersionMax="47" xr10:uidLastSave="{00000000-0000-0000-0000-000000000000}"/>
  <bookViews>
    <workbookView xWindow="-108" yWindow="-108" windowWidth="23256" windowHeight="12456" activeTab="3" xr2:uid="{54FE252E-4D97-464A-A577-8BBD9B75E7D2}"/>
  </bookViews>
  <sheets>
    <sheet name="Raw Data" sheetId="1" r:id="rId1"/>
    <sheet name="Sorted Data" sheetId="3" r:id="rId2"/>
    <sheet name="Pivot Tables" sheetId="4" r:id="rId3"/>
    <sheet name="Dashboard" sheetId="5" r:id="rId4"/>
  </sheets>
  <definedNames>
    <definedName name="_xlnm._FilterDatabase" localSheetId="0" hidden="1">'Raw Data'!$B$2:$U$2</definedName>
    <definedName name="Slicer_Store_Type">#N/A</definedName>
    <definedName name="Slicer_Years_in_Busines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0" i="4" l="1"/>
</calcChain>
</file>

<file path=xl/sharedStrings.xml><?xml version="1.0" encoding="utf-8"?>
<sst xmlns="http://schemas.openxmlformats.org/spreadsheetml/2006/main" count="656" uniqueCount="136">
  <si>
    <t>Shop Name</t>
  </si>
  <si>
    <t>Shop Location</t>
  </si>
  <si>
    <t>Any suggestions for biscuit companies to improve sales and customer satisfaction?</t>
  </si>
  <si>
    <t>Mukesh kirana &amp; general store</t>
  </si>
  <si>
    <t xml:space="preserve">New market </t>
  </si>
  <si>
    <t>Kirana Store</t>
  </si>
  <si>
    <t>1-3 years</t>
  </si>
  <si>
    <t>Others - Patanjali</t>
  </si>
  <si>
    <t>₹10 biscuits</t>
  </si>
  <si>
    <t>General Customers</t>
  </si>
  <si>
    <t xml:space="preserve">Families </t>
  </si>
  <si>
    <t>More customers prefer ₹10 biscuits now</t>
  </si>
  <si>
    <t>More than 50 packs</t>
  </si>
  <si>
    <t>Parle-G</t>
  </si>
  <si>
    <t>No</t>
  </si>
  <si>
    <t>No noticeable seasonal trend</t>
  </si>
  <si>
    <t>Taste</t>
  </si>
  <si>
    <t xml:space="preserve">Yes </t>
  </si>
  <si>
    <t>Discount offers</t>
  </si>
  <si>
    <t>Customers have shifted to samller/larger packs</t>
  </si>
  <si>
    <t>Advertising, Banners</t>
  </si>
  <si>
    <t xml:space="preserve">Asha Dry Fruits </t>
  </si>
  <si>
    <t>Wholesale</t>
  </si>
  <si>
    <t>More than 5 years</t>
  </si>
  <si>
    <r>
      <t xml:space="preserve">Britannia Tiger </t>
    </r>
    <r>
      <rPr>
        <sz val="11"/>
        <color theme="1"/>
        <rFont val="Calibri"/>
        <family val="2"/>
      </rPr>
      <t>₹5 Pack</t>
    </r>
  </si>
  <si>
    <t>Parle-G ₹5 Pack</t>
  </si>
  <si>
    <t>Others - Britannia Tiger</t>
  </si>
  <si>
    <t>Office Goers</t>
  </si>
  <si>
    <t xml:space="preserve">Britannia </t>
  </si>
  <si>
    <t xml:space="preserve">Advertisement </t>
  </si>
  <si>
    <t>Harish Oil</t>
  </si>
  <si>
    <t>Good Day ₹10 pack</t>
  </si>
  <si>
    <t>Children</t>
  </si>
  <si>
    <t xml:space="preserve">No significant change </t>
  </si>
  <si>
    <t>Less than 10 packs</t>
  </si>
  <si>
    <t>30-50 packs</t>
  </si>
  <si>
    <t>Higher demand during festivals</t>
  </si>
  <si>
    <t>Nothing</t>
  </si>
  <si>
    <t xml:space="preserve">Agrawal Namkeen </t>
  </si>
  <si>
    <t>Other</t>
  </si>
  <si>
    <t>Both equally</t>
  </si>
  <si>
    <t>10-30 packs</t>
  </si>
  <si>
    <t>Yes</t>
  </si>
  <si>
    <t>Higher demand in winter</t>
  </si>
  <si>
    <t>Brand Loyalty</t>
  </si>
  <si>
    <t>Buy 1 Get 1 Free</t>
  </si>
  <si>
    <t>RCG Tea Stall</t>
  </si>
  <si>
    <t>Daily Wage Workers</t>
  </si>
  <si>
    <t>Other - Daily Workers</t>
  </si>
  <si>
    <t>Price</t>
  </si>
  <si>
    <t>No change in demand</t>
  </si>
  <si>
    <t>Sanchi Amul Parlour</t>
  </si>
  <si>
    <t>Others - Mom's Magic</t>
  </si>
  <si>
    <t>ITC (Mom's Magic, Dark Fantasy)</t>
  </si>
  <si>
    <t>No signifacant impact from promotions</t>
  </si>
  <si>
    <t>Jitesh Protiens</t>
  </si>
  <si>
    <t>Bourbon ₹10 pack</t>
  </si>
  <si>
    <t>₹5 biscuits</t>
  </si>
  <si>
    <t>College Students</t>
  </si>
  <si>
    <t>Shri Bajrang Kirana</t>
  </si>
  <si>
    <t xml:space="preserve">Yes - If there is a break than there is shortage </t>
  </si>
  <si>
    <t>New Sanskar Provision</t>
  </si>
  <si>
    <t>Parle-G ₹10 Pack</t>
  </si>
  <si>
    <t>Other - General Customers</t>
  </si>
  <si>
    <t>Free samples from brands</t>
  </si>
  <si>
    <t>Satguru Oil &amp; Kirana Store</t>
  </si>
  <si>
    <t>Yes, few customers buy biscuits now</t>
  </si>
  <si>
    <t>Anil Kirana</t>
  </si>
  <si>
    <t>Rupali</t>
  </si>
  <si>
    <t>Rajasthan Kirana Store</t>
  </si>
  <si>
    <t>Shiv Shakti Kirana Store</t>
  </si>
  <si>
    <t>S.No.</t>
  </si>
  <si>
    <t>Survey on Shopkeepers Data</t>
  </si>
  <si>
    <r>
      <rPr>
        <b/>
        <sz val="11"/>
        <color theme="1"/>
        <rFont val="Calibri"/>
        <family val="2"/>
        <scheme val="minor"/>
      </rPr>
      <t xml:space="preserve">Type of store
</t>
    </r>
    <r>
      <rPr>
        <sz val="11"/>
        <color theme="1"/>
        <rFont val="Calibri"/>
        <family val="2"/>
        <scheme val="minor"/>
      </rPr>
      <t xml:space="preserve">A. Kirana store </t>
    </r>
    <r>
      <rPr>
        <b/>
        <u/>
        <sz val="11"/>
        <color theme="1"/>
        <rFont val="Calibri"/>
        <family val="2"/>
        <scheme val="minor"/>
      </rPr>
      <t xml:space="preserve"> 
</t>
    </r>
    <r>
      <rPr>
        <sz val="11"/>
        <color theme="1"/>
        <rFont val="Calibri"/>
        <family val="2"/>
        <scheme val="minor"/>
      </rPr>
      <t>B. Supermarket  
C. Wholesale 
D.Other</t>
    </r>
  </si>
  <si>
    <r>
      <t>How long have you been selling Biscuits?</t>
    </r>
    <r>
      <rPr>
        <sz val="11"/>
        <color theme="1"/>
        <rFont val="Calibri"/>
        <family val="2"/>
        <scheme val="minor"/>
      </rPr>
      <t xml:space="preserve"> 
A. Less than 1 year 
B. 1-3 years 
C. 3-5 years
D. More than 5 years </t>
    </r>
  </si>
  <si>
    <r>
      <t xml:space="preserve">which ₹5 biscuit brands are the most sold in your shop? 
</t>
    </r>
    <r>
      <rPr>
        <sz val="11"/>
        <color theme="1"/>
        <rFont val="Calibri"/>
        <family val="2"/>
        <scheme val="minor"/>
      </rPr>
      <t xml:space="preserve">A. Parle-G ₹5 Pack 
B. Britannia Tiger ₹5 Pack 
C. Sunfeast Glucose ₹5 pack 
D. Patanjali Biscuits ₹5 Pack 
E. Anmol/ other local brands </t>
    </r>
    <r>
      <rPr>
        <b/>
        <sz val="11"/>
        <color theme="1"/>
        <rFont val="Calibri"/>
        <family val="2"/>
        <scheme val="minor"/>
      </rPr>
      <t xml:space="preserve">              </t>
    </r>
  </si>
  <si>
    <r>
      <t xml:space="preserve">Which ₹10 biscuit brands are the most sold in your shop?  
</t>
    </r>
    <r>
      <rPr>
        <sz val="11"/>
        <color theme="1"/>
        <rFont val="Calibri"/>
        <family val="2"/>
        <scheme val="minor"/>
      </rPr>
      <t xml:space="preserve">A. Parle-G ₹10 pack
B. Bourbon ₹10 pack
C. Hide &amp; Seek Fab ₹10 pack
D. Good Day ₹10 pack
E. Treat/Cream Biscuits ₹10 pack
F. Others  </t>
    </r>
    <r>
      <rPr>
        <b/>
        <sz val="11"/>
        <color theme="1"/>
        <rFont val="Calibri"/>
        <family val="2"/>
        <scheme val="minor"/>
      </rPr>
      <t xml:space="preserve">
</t>
    </r>
  </si>
  <si>
    <r>
      <t xml:space="preserve">Which customer group buys ₹5 biscuits the most?
</t>
    </r>
    <r>
      <rPr>
        <sz val="11"/>
        <color theme="1"/>
        <rFont val="Calibri"/>
        <family val="2"/>
        <scheme val="minor"/>
      </rPr>
      <t>A. Children 
B. Daily Wage 
C. workers 
D. General Customers 
E. Other</t>
    </r>
  </si>
  <si>
    <r>
      <t xml:space="preserve">Which customer group buys ₹10 biscuits the most?
</t>
    </r>
    <r>
      <rPr>
        <sz val="11"/>
        <color theme="1"/>
        <rFont val="Calibri"/>
        <family val="2"/>
        <scheme val="minor"/>
      </rPr>
      <t xml:space="preserve">A. Families 
B. Office-Goers
C. College Students 
D. Other </t>
    </r>
  </si>
  <si>
    <r>
      <t xml:space="preserve">Have you noticed any shift in prefrence between </t>
    </r>
    <r>
      <rPr>
        <b/>
        <sz val="11"/>
        <color theme="1"/>
        <rFont val="Calibri"/>
        <family val="2"/>
      </rPr>
      <t>₹5 and ₹10 biscuits recently?</t>
    </r>
    <r>
      <rPr>
        <b/>
        <sz val="11"/>
        <color theme="1"/>
        <rFont val="Calibri"/>
        <family val="2"/>
        <scheme val="minor"/>
      </rPr>
      <t xml:space="preserve">
</t>
    </r>
    <r>
      <rPr>
        <sz val="11"/>
        <color theme="1"/>
        <rFont val="Calibri"/>
        <family val="2"/>
        <scheme val="minor"/>
      </rPr>
      <t>A. More customers prefer ₹5 biscuits now
B. More customers prefer ₹10 biscuits now
C. No significant change</t>
    </r>
  </si>
  <si>
    <r>
      <t xml:space="preserve">How many packs of ₹5 biscuits do you sell daily on average?
</t>
    </r>
    <r>
      <rPr>
        <sz val="11"/>
        <color theme="1"/>
        <rFont val="Calibri"/>
        <family val="2"/>
        <scheme val="minor"/>
      </rPr>
      <t xml:space="preserve">A. Less than 10 packs 
B. 10-30 packs
C. 30-50 packs 
D. More than 50 packs </t>
    </r>
  </si>
  <si>
    <r>
      <t xml:space="preserve">How many packs of ₹10 biscuits do you sell daily on average?
</t>
    </r>
    <r>
      <rPr>
        <sz val="11"/>
        <color theme="1"/>
        <rFont val="Calibri"/>
        <family val="2"/>
        <scheme val="minor"/>
      </rPr>
      <t>A. Less than 10 packs 
B. 10-30 packs
C. 30-50 packs 
D. More than 50 packs</t>
    </r>
  </si>
  <si>
    <r>
      <t xml:space="preserve">Which Biscuit brands do you stock in lagrge quantities due to high demand?
</t>
    </r>
    <r>
      <rPr>
        <sz val="11"/>
        <color theme="1"/>
        <rFont val="Calibri"/>
        <family val="2"/>
        <scheme val="minor"/>
      </rPr>
      <t xml:space="preserve">A. Parle-G
B. Brittania 
C. Sunfeast 
D. ITC (Mom's Magic, Dark Fantasy)
E. Others </t>
    </r>
  </si>
  <si>
    <r>
      <t xml:space="preserve">Do any biscuit brands face frequent supply storages?
</t>
    </r>
    <r>
      <rPr>
        <sz val="11"/>
        <color theme="1"/>
        <rFont val="Calibri"/>
        <family val="2"/>
        <scheme val="minor"/>
      </rPr>
      <t xml:space="preserve">A. Yes 
B. No </t>
    </r>
  </si>
  <si>
    <r>
      <t xml:space="preserve">Have you observed any seasonal trends in the demand for </t>
    </r>
    <r>
      <rPr>
        <b/>
        <sz val="11"/>
        <color theme="1"/>
        <rFont val="Calibri"/>
        <family val="2"/>
      </rPr>
      <t xml:space="preserve">₹5 or ₹10 biscuits?
</t>
    </r>
    <r>
      <rPr>
        <sz val="11"/>
        <color theme="1"/>
        <rFont val="Calibri"/>
        <family val="2"/>
      </rPr>
      <t xml:space="preserve">A. Higher demand during festivals 
B. Higher demand in summer 
C. Higher demand in winter 
D.No noticeable seasonal trend </t>
    </r>
    <r>
      <rPr>
        <b/>
        <sz val="11"/>
        <color theme="1"/>
        <rFont val="Calibri"/>
        <family val="2"/>
      </rPr>
      <t xml:space="preserve">
</t>
    </r>
  </si>
  <si>
    <r>
      <t xml:space="preserve">What are the top reasons customers choose a biscuit brand? 
</t>
    </r>
    <r>
      <rPr>
        <sz val="11"/>
        <color theme="1"/>
        <rFont val="Calibri"/>
        <family val="2"/>
        <scheme val="minor"/>
      </rPr>
      <t>A. Price 
B. Taste 
C. Brand Loyalty 
D. Availability</t>
    </r>
    <r>
      <rPr>
        <b/>
        <sz val="11"/>
        <color theme="1"/>
        <rFont val="Calibri"/>
        <family val="2"/>
        <scheme val="minor"/>
      </rPr>
      <t xml:space="preserve">
</t>
    </r>
    <r>
      <rPr>
        <sz val="11"/>
        <color theme="1"/>
        <rFont val="Calibri"/>
        <family val="2"/>
        <scheme val="minor"/>
      </rPr>
      <t xml:space="preserve">E. Packaging </t>
    </r>
  </si>
  <si>
    <r>
      <t xml:space="preserve">Do customers ask for specific ₹5 or ₹10 biscuits based on advertising (TV, social media, etc.)?
</t>
    </r>
    <r>
      <rPr>
        <sz val="11"/>
        <color theme="1"/>
        <rFont val="Calibri"/>
        <family val="2"/>
        <scheme val="minor"/>
      </rPr>
      <t xml:space="preserve">A. Yes 
B. No </t>
    </r>
  </si>
  <si>
    <r>
      <t xml:space="preserve">Which promotional offers work best to increase biscuit sales in your store?
</t>
    </r>
    <r>
      <rPr>
        <sz val="11"/>
        <color theme="1"/>
        <rFont val="Calibri"/>
        <family val="2"/>
        <scheme val="minor"/>
      </rPr>
      <t xml:space="preserve">A. Discount offers 
B. Free samples from brands 
C. Buy 1 Get 1 Free 
D. No signifacant impact from promotions </t>
    </r>
  </si>
  <si>
    <r>
      <t xml:space="preserve">Have you observed a change in biscuit sales due to inflation or price hikes?
</t>
    </r>
    <r>
      <rPr>
        <sz val="11"/>
        <color theme="1"/>
        <rFont val="Calibri"/>
        <family val="2"/>
        <scheme val="minor"/>
      </rPr>
      <t>A. Yes, few customers buy biscuits now</t>
    </r>
    <r>
      <rPr>
        <b/>
        <sz val="11"/>
        <color theme="1"/>
        <rFont val="Calibri"/>
        <family val="2"/>
        <scheme val="minor"/>
      </rPr>
      <t xml:space="preserve">
</t>
    </r>
    <r>
      <rPr>
        <sz val="11"/>
        <color theme="1"/>
        <rFont val="Calibri"/>
        <family val="2"/>
        <scheme val="minor"/>
      </rPr>
      <t>B. No change in demand 
C. Customers have shifted to samller/larger packs</t>
    </r>
  </si>
  <si>
    <r>
      <t xml:space="preserve">Which biscuit price range (₹5 or ₹10) has higher demand?
</t>
    </r>
    <r>
      <rPr>
        <sz val="11"/>
        <color theme="1"/>
        <rFont val="Calibri"/>
        <family val="2"/>
        <scheme val="minor"/>
      </rPr>
      <t xml:space="preserve">A. ₹5 biscuits 
B. ₹10 biscuits
C. Both equally  </t>
    </r>
  </si>
  <si>
    <t>Britannia Tiger ₹5 Pack</t>
  </si>
  <si>
    <t xml:space="preserve"> Location</t>
  </si>
  <si>
    <t>Store Type</t>
  </si>
  <si>
    <t xml:space="preserve">Top ₹5 Brand               </t>
  </si>
  <si>
    <t>Price Demand</t>
  </si>
  <si>
    <t>Daily Sales (₹10)</t>
  </si>
  <si>
    <t>Years in Business</t>
  </si>
  <si>
    <t>Target Group (₹5)</t>
  </si>
  <si>
    <t>Target Group (₹10)</t>
  </si>
  <si>
    <t>Prefrence Shift</t>
  </si>
  <si>
    <t>Daily Sales (₹5)</t>
  </si>
  <si>
    <t>High Stock Brands</t>
  </si>
  <si>
    <t>Supply Issues</t>
  </si>
  <si>
    <t xml:space="preserve">Seasonality
</t>
  </si>
  <si>
    <t>Buying Driver</t>
  </si>
  <si>
    <t xml:space="preserve">Ad Influence </t>
  </si>
  <si>
    <t>Best Promotion</t>
  </si>
  <si>
    <t>Inflation Impact</t>
  </si>
  <si>
    <t>Suggestions</t>
  </si>
  <si>
    <t>Top ₹10 Brand</t>
  </si>
  <si>
    <t>Which brands dominate the ₹5 and ₹10 segments?</t>
  </si>
  <si>
    <t>Is the market shifting towards higher price points?</t>
  </si>
  <si>
    <t>What is the primary driver for biscuit sales (Price vs. Taste)?</t>
  </si>
  <si>
    <t>What is the average daily sales volume distribution for ₹10 packs?</t>
  </si>
  <si>
    <t>Who is the core customer for ₹10 biscuits?</t>
  </si>
  <si>
    <t>Which marketing tactics are actually working for shopkeepers?</t>
  </si>
  <si>
    <t>Total Shops Selling</t>
  </si>
  <si>
    <t>₹5 Biscuit Brand</t>
  </si>
  <si>
    <t>₹10 Biscuit Brand</t>
  </si>
  <si>
    <t>Customer Shift Type</t>
  </si>
  <si>
    <t>No. of Responses</t>
  </si>
  <si>
    <t>Pack Sold Daily (₹10)</t>
  </si>
  <si>
    <t>Primary Purchase Factor</t>
  </si>
  <si>
    <t>Total Votes</t>
  </si>
  <si>
    <t>Store Count</t>
  </si>
  <si>
    <t>Marketing Offer type</t>
  </si>
  <si>
    <t>Effectiveness Count</t>
  </si>
  <si>
    <t xml:space="preserve">Target Audience </t>
  </si>
  <si>
    <t xml:space="preserve">Store Response </t>
  </si>
  <si>
    <t>Dominant Brands: ₹5 Biscuit Segment</t>
  </si>
  <si>
    <t>Leading Competitors: ₹10 Biscuit Segment</t>
  </si>
  <si>
    <t>Customer Trend: Shift Toward ₹10 Price Point</t>
  </si>
  <si>
    <t xml:space="preserve">Demographic Profile: Top ₹10 Biscuit Buyers  </t>
  </si>
  <si>
    <t>Key Decision Factors: Quality Vs. Price</t>
  </si>
  <si>
    <t>High - Impact Marketing &amp; Promotional Offers</t>
  </si>
  <si>
    <t>Retail Velocity: Average Daily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</si>
</sst>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u/>
      <sz val="11"/>
      <color theme="1"/>
      <name val="Calibri"/>
      <family val="2"/>
      <scheme val="minor"/>
    </font>
    <font>
      <b/>
      <sz val="11"/>
      <color theme="1"/>
      <name val="Calibri"/>
      <family val="2"/>
    </font>
    <font>
      <sz val="11"/>
      <color theme="1"/>
      <name val="Calibri"/>
      <family val="2"/>
    </font>
    <font>
      <b/>
      <sz val="14"/>
      <color theme="1"/>
      <name val="Calibri"/>
      <family val="2"/>
      <scheme val="minor"/>
    </font>
    <font>
      <b/>
      <u/>
      <sz val="14"/>
      <color theme="1"/>
      <name val="Calibri"/>
      <family val="2"/>
      <scheme val="minor"/>
    </font>
    <font>
      <sz val="11"/>
      <color theme="1" tint="0.499984740745262"/>
      <name val="Calibri"/>
      <family val="2"/>
      <scheme val="minor"/>
    </font>
  </fonts>
  <fills count="4">
    <fill>
      <patternFill patternType="none"/>
    </fill>
    <fill>
      <patternFill patternType="gray125"/>
    </fill>
    <fill>
      <patternFill patternType="solid">
        <fgColor theme="9"/>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applyAlignment="1">
      <alignment vertical="center" wrapText="1"/>
    </xf>
    <xf numFmtId="0" fontId="1" fillId="0" borderId="0" xfId="0" applyFont="1" applyAlignment="1">
      <alignment vertical="center"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5" fillId="0" borderId="0" xfId="0" applyFont="1" applyAlignment="1">
      <alignment horizontal="center" vertical="center"/>
    </xf>
    <xf numFmtId="0" fontId="0" fillId="0" borderId="0" xfId="0" pivotButton="1"/>
    <xf numFmtId="0" fontId="0" fillId="0" borderId="0" xfId="0" applyAlignment="1">
      <alignment horizontal="left"/>
    </xf>
    <xf numFmtId="0" fontId="5" fillId="0" borderId="0" xfId="0" applyFont="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wrapText="1"/>
    </xf>
    <xf numFmtId="0" fontId="7" fillId="3" borderId="0" xfId="0" applyFont="1" applyFill="1"/>
    <xf numFmtId="0" fontId="6" fillId="2" borderId="0" xfId="0" applyFont="1" applyFill="1" applyAlignment="1">
      <alignment horizontal="center"/>
    </xf>
    <xf numFmtId="0" fontId="5" fillId="2" borderId="0" xfId="0" applyFont="1" applyFill="1" applyAlignment="1">
      <alignment horizontal="center"/>
    </xf>
  </cellXfs>
  <cellStyles count="1">
    <cellStyle name="Normal" xfId="0" builtinId="0"/>
  </cellStyles>
  <dxfs count="23">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excel - shopkeepers.xlsx]Pivot Tables!PivotTable1</c:name>
    <c:fmtId val="2"/>
  </c:pivotSource>
  <c:chart>
    <c:title>
      <c:tx>
        <c:strRef>
          <c:f>'Pivot Tables'!$E$36</c:f>
          <c:strCache>
            <c:ptCount val="1"/>
            <c:pt idx="0">
              <c:v>Dominant Brands: ₹5 Biscuit Segment</c:v>
            </c:pt>
          </c:strCache>
        </c:strRef>
      </c:tx>
      <c:layout>
        <c:manualLayout>
          <c:xMode val="edge"/>
          <c:yMode val="edge"/>
          <c:x val="0.20725125448028675"/>
          <c:y val="1.9781931464174455E-2"/>
        </c:manualLayout>
      </c:layout>
      <c:overlay val="0"/>
      <c:spPr>
        <a:noFill/>
        <a:ln>
          <a:noFill/>
        </a:ln>
        <a:effectLst/>
      </c:spPr>
      <c:txPr>
        <a:bodyPr rot="0" spcFirstLastPara="1" vertOverflow="ellipsis" vert="horz" wrap="square" anchor="ctr" anchorCtr="1"/>
        <a:lstStyle/>
        <a:p>
          <a:pPr algn="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pivotFmt>
      <c:pivotFmt>
        <c:idx val="4"/>
        <c:spPr>
          <a:solidFill>
            <a:schemeClr val="bg2">
              <a:lumMod val="50000"/>
            </a:schemeClr>
          </a:solidFill>
          <a:ln>
            <a:noFill/>
          </a:ln>
          <a:effectLst/>
        </c:spPr>
      </c:pivotFmt>
      <c:pivotFmt>
        <c:idx val="5"/>
        <c:spPr>
          <a:solidFill>
            <a:schemeClr val="bg2">
              <a:lumMod val="50000"/>
            </a:schemeClr>
          </a:solidFill>
          <a:ln>
            <a:noFill/>
          </a:ln>
          <a:effectLst/>
        </c:spPr>
      </c:pivotFmt>
    </c:pivotFmts>
    <c:plotArea>
      <c:layout/>
      <c:barChart>
        <c:barDir val="bar"/>
        <c:grouping val="clustered"/>
        <c:varyColors val="0"/>
        <c:ser>
          <c:idx val="0"/>
          <c:order val="0"/>
          <c:tx>
            <c:strRef>
              <c:f>'Pivot Tables'!$E$36</c:f>
              <c:strCache>
                <c:ptCount val="1"/>
                <c:pt idx="0">
                  <c:v>Total</c:v>
                </c:pt>
              </c:strCache>
            </c:strRef>
          </c:tx>
          <c:spPr>
            <a:solidFill>
              <a:schemeClr val="accent1"/>
            </a:solidFill>
            <a:ln>
              <a:noFill/>
            </a:ln>
            <a:effectLst/>
          </c:spPr>
          <c:invertIfNegative val="0"/>
          <c:dPt>
            <c:idx val="0"/>
            <c:invertIfNegative val="0"/>
            <c:bubble3D val="0"/>
            <c:spPr>
              <a:solidFill>
                <a:schemeClr val="bg2">
                  <a:lumMod val="25000"/>
                </a:schemeClr>
              </a:solidFill>
              <a:ln>
                <a:noFill/>
              </a:ln>
              <a:effectLst/>
            </c:spPr>
            <c:extLst>
              <c:ext xmlns:c16="http://schemas.microsoft.com/office/drawing/2014/chart" uri="{C3380CC4-5D6E-409C-BE32-E72D297353CC}">
                <c16:uniqueId val="{00000001-2816-4F98-90FC-EE72D37A9486}"/>
              </c:ext>
            </c:extLst>
          </c:dPt>
          <c:dPt>
            <c:idx val="1"/>
            <c:invertIfNegative val="0"/>
            <c:bubble3D val="0"/>
            <c:spPr>
              <a:solidFill>
                <a:schemeClr val="bg2">
                  <a:lumMod val="50000"/>
                </a:schemeClr>
              </a:solidFill>
              <a:ln>
                <a:noFill/>
              </a:ln>
              <a:effectLst/>
            </c:spPr>
            <c:extLst>
              <c:ext xmlns:c16="http://schemas.microsoft.com/office/drawing/2014/chart" uri="{C3380CC4-5D6E-409C-BE32-E72D297353CC}">
                <c16:uniqueId val="{00000003-2816-4F98-90FC-EE72D37A9486}"/>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5-2816-4F98-90FC-EE72D37A948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Tables'!$E$36</c:f>
              <c:strCache>
                <c:ptCount val="3"/>
                <c:pt idx="0">
                  <c:v>Parle-G ₹5 Pack</c:v>
                </c:pt>
                <c:pt idx="1">
                  <c:v>Britannia Tiger ₹5 Pack</c:v>
                </c:pt>
                <c:pt idx="2">
                  <c:v>Others - Mom's Magic</c:v>
                </c:pt>
              </c:strCache>
            </c:strRef>
          </c:cat>
          <c:val>
            <c:numRef>
              <c:f>'Pivot Tables'!$E$36</c:f>
              <c:numCache>
                <c:formatCode>General</c:formatCode>
                <c:ptCount val="3"/>
                <c:pt idx="0">
                  <c:v>12</c:v>
                </c:pt>
                <c:pt idx="1">
                  <c:v>1</c:v>
                </c:pt>
                <c:pt idx="2">
                  <c:v>1</c:v>
                </c:pt>
              </c:numCache>
            </c:numRef>
          </c:val>
          <c:extLst>
            <c:ext xmlns:c16="http://schemas.microsoft.com/office/drawing/2014/chart" uri="{C3380CC4-5D6E-409C-BE32-E72D297353CC}">
              <c16:uniqueId val="{00000007-A571-4D4B-969A-72BAF3AAE7D2}"/>
            </c:ext>
          </c:extLst>
        </c:ser>
        <c:dLbls>
          <c:dLblPos val="ctr"/>
          <c:showLegendKey val="0"/>
          <c:showVal val="1"/>
          <c:showCatName val="0"/>
          <c:showSerName val="0"/>
          <c:showPercent val="0"/>
          <c:showBubbleSize val="0"/>
        </c:dLbls>
        <c:gapWidth val="100"/>
        <c:axId val="1781887072"/>
        <c:axId val="1781884992"/>
      </c:barChart>
      <c:catAx>
        <c:axId val="1781887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1884992"/>
        <c:crosses val="autoZero"/>
        <c:auto val="1"/>
        <c:lblAlgn val="ctr"/>
        <c:lblOffset val="100"/>
        <c:noMultiLvlLbl val="0"/>
      </c:catAx>
      <c:valAx>
        <c:axId val="17818849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1887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63500" dir="5400000" algn="ctr" rotWithShape="0">
        <a:schemeClr val="tx1">
          <a:lumMod val="50000"/>
          <a:lumOff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excel - shopkeepers.xlsx]Pivot Tables!PivotTable2</c:name>
    <c:fmtId val="2"/>
  </c:pivotSource>
  <c:chart>
    <c:title>
      <c:tx>
        <c:strRef>
          <c:f>'Pivot Tables'!$E$37</c:f>
          <c:strCache>
            <c:ptCount val="1"/>
            <c:pt idx="0">
              <c:v>Leading Competitors: ₹10 Biscuit Segment</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pivotFmt>
      <c:pivotFmt>
        <c:idx val="4"/>
        <c:spPr>
          <a:solidFill>
            <a:schemeClr val="bg2">
              <a:lumMod val="25000"/>
            </a:schemeClr>
          </a:solidFill>
          <a:ln>
            <a:noFill/>
          </a:ln>
          <a:effectLst/>
        </c:spPr>
      </c:pivotFmt>
    </c:pivotFmts>
    <c:plotArea>
      <c:layout/>
      <c:barChart>
        <c:barDir val="bar"/>
        <c:grouping val="clustered"/>
        <c:varyColors val="0"/>
        <c:ser>
          <c:idx val="0"/>
          <c:order val="0"/>
          <c:tx>
            <c:strRef>
              <c:f>'Pivot Tables'!$E$37</c:f>
              <c:strCache>
                <c:ptCount val="1"/>
                <c:pt idx="0">
                  <c:v>Total</c:v>
                </c:pt>
              </c:strCache>
            </c:strRef>
          </c:tx>
          <c:spPr>
            <a:solidFill>
              <a:schemeClr val="bg2">
                <a:lumMod val="50000"/>
              </a:schemeClr>
            </a:solidFill>
            <a:ln>
              <a:noFill/>
            </a:ln>
            <a:effectLst/>
          </c:spPr>
          <c:invertIfNegative val="0"/>
          <c:dPt>
            <c:idx val="0"/>
            <c:invertIfNegative val="0"/>
            <c:bubble3D val="0"/>
            <c:spPr>
              <a:solidFill>
                <a:schemeClr val="bg2">
                  <a:lumMod val="25000"/>
                </a:schemeClr>
              </a:solidFill>
              <a:ln>
                <a:noFill/>
              </a:ln>
              <a:effectLst/>
            </c:spPr>
            <c:extLst>
              <c:ext xmlns:c16="http://schemas.microsoft.com/office/drawing/2014/chart" uri="{C3380CC4-5D6E-409C-BE32-E72D297353CC}">
                <c16:uniqueId val="{00000001-2966-4F62-9B50-C3531ED97310}"/>
              </c:ext>
            </c:extLst>
          </c:dPt>
          <c:dPt>
            <c:idx val="1"/>
            <c:invertIfNegative val="0"/>
            <c:bubble3D val="0"/>
            <c:spPr>
              <a:solidFill>
                <a:schemeClr val="bg2">
                  <a:lumMod val="25000"/>
                </a:schemeClr>
              </a:solidFill>
              <a:ln>
                <a:noFill/>
              </a:ln>
              <a:effectLst/>
            </c:spPr>
            <c:extLst>
              <c:ext xmlns:c16="http://schemas.microsoft.com/office/drawing/2014/chart" uri="{C3380CC4-5D6E-409C-BE32-E72D297353CC}">
                <c16:uniqueId val="{00000003-2966-4F62-9B50-C3531ED9731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Tables'!$E$37</c:f>
              <c:strCache>
                <c:ptCount val="6"/>
                <c:pt idx="0">
                  <c:v>Parle-G ₹10 Pack</c:v>
                </c:pt>
                <c:pt idx="1">
                  <c:v>Good Day ₹10 pack</c:v>
                </c:pt>
                <c:pt idx="2">
                  <c:v>Others - Mom's Magic</c:v>
                </c:pt>
                <c:pt idx="3">
                  <c:v>Others - Patanjali</c:v>
                </c:pt>
                <c:pt idx="4">
                  <c:v>Bourbon ₹10 pack</c:v>
                </c:pt>
                <c:pt idx="5">
                  <c:v>Others - Britannia Tiger</c:v>
                </c:pt>
              </c:strCache>
            </c:strRef>
          </c:cat>
          <c:val>
            <c:numRef>
              <c:f>'Pivot Tables'!$E$37</c:f>
              <c:numCache>
                <c:formatCode>General</c:formatCode>
                <c:ptCount val="6"/>
                <c:pt idx="0">
                  <c:v>5</c:v>
                </c:pt>
                <c:pt idx="1">
                  <c:v>5</c:v>
                </c:pt>
                <c:pt idx="2">
                  <c:v>1</c:v>
                </c:pt>
                <c:pt idx="3">
                  <c:v>1</c:v>
                </c:pt>
                <c:pt idx="4">
                  <c:v>1</c:v>
                </c:pt>
                <c:pt idx="5">
                  <c:v>1</c:v>
                </c:pt>
              </c:numCache>
            </c:numRef>
          </c:val>
          <c:extLst>
            <c:ext xmlns:c16="http://schemas.microsoft.com/office/drawing/2014/chart" uri="{C3380CC4-5D6E-409C-BE32-E72D297353CC}">
              <c16:uniqueId val="{00000005-6AA8-433F-8AFF-A6904A1F109D}"/>
            </c:ext>
          </c:extLst>
        </c:ser>
        <c:dLbls>
          <c:dLblPos val="inEnd"/>
          <c:showLegendKey val="0"/>
          <c:showVal val="1"/>
          <c:showCatName val="0"/>
          <c:showSerName val="0"/>
          <c:showPercent val="0"/>
          <c:showBubbleSize val="0"/>
        </c:dLbls>
        <c:gapWidth val="100"/>
        <c:axId val="1781886240"/>
        <c:axId val="1781880832"/>
      </c:barChart>
      <c:catAx>
        <c:axId val="178188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1880832"/>
        <c:crosses val="autoZero"/>
        <c:auto val="1"/>
        <c:lblAlgn val="ctr"/>
        <c:lblOffset val="100"/>
        <c:noMultiLvlLbl val="0"/>
      </c:catAx>
      <c:valAx>
        <c:axId val="1781880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188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63500" dir="5400000" algn="ctr" rotWithShape="0">
        <a:schemeClr val="tx1">
          <a:lumMod val="50000"/>
          <a:lumOff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excel - shopkeepers.xlsx]Pivot Tables!PivotTable3</c:name>
    <c:fmtId val="2"/>
  </c:pivotSource>
  <c:chart>
    <c:title>
      <c:tx>
        <c:strRef>
          <c:f>'Pivot Tables'!$E$38</c:f>
          <c:strCache>
            <c:ptCount val="1"/>
            <c:pt idx="0">
              <c:v>Customer Trend: Shift Toward ₹10 Price Point</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gradFill>
              <a:gsLst>
                <a:gs pos="0">
                  <a:srgbClr val="0F6FC6">
                    <a:lumMod val="5000"/>
                    <a:lumOff val="95000"/>
                  </a:srgbClr>
                </a:gs>
                <a:gs pos="74000">
                  <a:srgbClr val="0F6FC6">
                    <a:lumMod val="45000"/>
                    <a:lumOff val="55000"/>
                  </a:srgbClr>
                </a:gs>
                <a:gs pos="83000">
                  <a:srgbClr val="0F6FC6">
                    <a:lumMod val="45000"/>
                    <a:lumOff val="55000"/>
                  </a:srgbClr>
                </a:gs>
                <a:gs pos="100000">
                  <a:srgbClr val="0F6FC6">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5476702508960574"/>
              <c:y val="0.10220664589823468"/>
            </c:manualLayout>
          </c:layout>
          <c:spPr>
            <a:gradFill>
              <a:gsLst>
                <a:gs pos="0">
                  <a:srgbClr val="0F6FC6">
                    <a:lumMod val="5000"/>
                    <a:lumOff val="95000"/>
                  </a:srgbClr>
                </a:gs>
                <a:gs pos="74000">
                  <a:srgbClr val="0F6FC6">
                    <a:lumMod val="45000"/>
                    <a:lumOff val="55000"/>
                  </a:srgbClr>
                </a:gs>
                <a:gs pos="83000">
                  <a:srgbClr val="0F6FC6">
                    <a:lumMod val="45000"/>
                    <a:lumOff val="55000"/>
                  </a:srgbClr>
                </a:gs>
                <a:gs pos="100000">
                  <a:srgbClr val="0F6FC6">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6614695340501792"/>
              <c:y val="-0.11209761163032191"/>
            </c:manualLayout>
          </c:layout>
          <c:spPr>
            <a:gradFill>
              <a:gsLst>
                <a:gs pos="0">
                  <a:srgbClr val="0F6FC6">
                    <a:lumMod val="5000"/>
                    <a:lumOff val="95000"/>
                  </a:srgbClr>
                </a:gs>
                <a:gs pos="74000">
                  <a:srgbClr val="0F6FC6">
                    <a:lumMod val="45000"/>
                    <a:lumOff val="55000"/>
                  </a:srgbClr>
                </a:gs>
                <a:gs pos="83000">
                  <a:srgbClr val="0F6FC6">
                    <a:lumMod val="45000"/>
                    <a:lumOff val="55000"/>
                  </a:srgbClr>
                </a:gs>
                <a:gs pos="100000">
                  <a:srgbClr val="0F6FC6">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Tables'!$E$38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C5-4A67-B924-42963CF8FE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C5-4A67-B924-42963CF8FE5D}"/>
              </c:ext>
            </c:extLst>
          </c:dPt>
          <c:dLbls>
            <c:dLbl>
              <c:idx val="0"/>
              <c:layout>
                <c:manualLayout>
                  <c:x val="0.15476702508960574"/>
                  <c:y val="0.102206645898234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8C5-4A67-B924-42963CF8FE5D}"/>
                </c:ext>
              </c:extLst>
            </c:dLbl>
            <c:dLbl>
              <c:idx val="1"/>
              <c:layout>
                <c:manualLayout>
                  <c:x val="-0.16614695340501792"/>
                  <c:y val="-0.1120976116303219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8C5-4A67-B924-42963CF8FE5D}"/>
                </c:ext>
              </c:extLst>
            </c:dLbl>
            <c:spPr>
              <a:gradFill>
                <a:gsLst>
                  <a:gs pos="0">
                    <a:srgbClr val="0F6FC6">
                      <a:lumMod val="5000"/>
                      <a:lumOff val="95000"/>
                    </a:srgbClr>
                  </a:gs>
                  <a:gs pos="74000">
                    <a:srgbClr val="0F6FC6">
                      <a:lumMod val="45000"/>
                      <a:lumOff val="55000"/>
                    </a:srgbClr>
                  </a:gs>
                  <a:gs pos="83000">
                    <a:srgbClr val="0F6FC6">
                      <a:lumMod val="45000"/>
                      <a:lumOff val="55000"/>
                    </a:srgbClr>
                  </a:gs>
                  <a:gs pos="100000">
                    <a:srgbClr val="0F6FC6">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Tables'!$E$38</c:f>
              <c:strCache>
                <c:ptCount val="2"/>
                <c:pt idx="0">
                  <c:v>No significant change </c:v>
                </c:pt>
                <c:pt idx="1">
                  <c:v>More customers prefer ₹10 biscuits now</c:v>
                </c:pt>
              </c:strCache>
            </c:strRef>
          </c:cat>
          <c:val>
            <c:numRef>
              <c:f>'Pivot Tables'!$E$38</c:f>
              <c:numCache>
                <c:formatCode>General</c:formatCode>
                <c:ptCount val="2"/>
                <c:pt idx="0">
                  <c:v>8</c:v>
                </c:pt>
                <c:pt idx="1">
                  <c:v>6</c:v>
                </c:pt>
              </c:numCache>
            </c:numRef>
          </c:val>
          <c:extLst>
            <c:ext xmlns:c16="http://schemas.microsoft.com/office/drawing/2014/chart" uri="{C3380CC4-5D6E-409C-BE32-E72D297353CC}">
              <c16:uniqueId val="{00000005-4189-4A2E-988A-353C2843D9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63500" dir="5400000" algn="ctr" rotWithShape="0">
        <a:schemeClr val="tx1">
          <a:lumMod val="50000"/>
          <a:lumOff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excel - shopkeepers.xlsx]Pivot Tables!PivotTable6</c:name>
    <c:fmtId val="2"/>
  </c:pivotSource>
  <c:chart>
    <c:title>
      <c:tx>
        <c:strRef>
          <c:f>'Pivot Tables'!$E$39</c:f>
          <c:strCache>
            <c:ptCount val="1"/>
            <c:pt idx="0">
              <c:v>Demographic Profile: Top ₹10 Biscuit Buyers  </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Tables'!$E$39</c:f>
              <c:strCache>
                <c:ptCount val="5"/>
                <c:pt idx="0">
                  <c:v>Families </c:v>
                </c:pt>
                <c:pt idx="1">
                  <c:v>Other - General Customers</c:v>
                </c:pt>
                <c:pt idx="2">
                  <c:v>Other - Daily Workers</c:v>
                </c:pt>
                <c:pt idx="3">
                  <c:v>College Students</c:v>
                </c:pt>
                <c:pt idx="4">
                  <c:v>Office Goers</c:v>
                </c:pt>
              </c:strCache>
            </c:strRef>
          </c:cat>
          <c:val>
            <c:numRef>
              <c:f>'Pivot Tables'!$E$39</c:f>
              <c:numCache>
                <c:formatCode>General</c:formatCode>
                <c:ptCount val="5"/>
                <c:pt idx="0">
                  <c:v>7</c:v>
                </c:pt>
                <c:pt idx="1">
                  <c:v>3</c:v>
                </c:pt>
                <c:pt idx="2">
                  <c:v>2</c:v>
                </c:pt>
                <c:pt idx="3">
                  <c:v>1</c:v>
                </c:pt>
                <c:pt idx="4">
                  <c:v>1</c:v>
                </c:pt>
              </c:numCache>
            </c:numRef>
          </c:val>
          <c:extLst>
            <c:ext xmlns:c16="http://schemas.microsoft.com/office/drawing/2014/chart" uri="{C3380CC4-5D6E-409C-BE32-E72D297353CC}">
              <c16:uniqueId val="{00000001-1552-40FD-B915-063BEE593321}"/>
            </c:ext>
          </c:extLst>
        </c:ser>
        <c:dLbls>
          <c:dLblPos val="ctr"/>
          <c:showLegendKey val="0"/>
          <c:showVal val="1"/>
          <c:showCatName val="0"/>
          <c:showSerName val="0"/>
          <c:showPercent val="0"/>
          <c:showBubbleSize val="0"/>
        </c:dLbls>
        <c:gapWidth val="100"/>
        <c:overlap val="-27"/>
        <c:axId val="301749616"/>
        <c:axId val="301749200"/>
      </c:barChart>
      <c:catAx>
        <c:axId val="30174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01749200"/>
        <c:crosses val="autoZero"/>
        <c:auto val="1"/>
        <c:lblAlgn val="ctr"/>
        <c:lblOffset val="100"/>
        <c:noMultiLvlLbl val="0"/>
      </c:catAx>
      <c:valAx>
        <c:axId val="301749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01749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63500" dir="5400000" algn="ctr" rotWithShape="0">
        <a:schemeClr val="tx1">
          <a:lumMod val="50000"/>
          <a:lumOff val="50000"/>
        </a:schemeClr>
      </a:outerShdw>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excel - shopkeepers.xlsx]Pivot Tables!PivotTable4</c:name>
    <c:fmtId val="2"/>
  </c:pivotSource>
  <c:chart>
    <c:title>
      <c:tx>
        <c:strRef>
          <c:f>'Pivot Tables'!$E$40</c:f>
          <c:strCache>
            <c:ptCount val="1"/>
            <c:pt idx="0">
              <c:v>Key Decision Factors: Quality Vs. Price</c:v>
            </c:pt>
          </c:strCache>
        </c:strRef>
      </c:tx>
      <c:overlay val="0"/>
      <c:spPr>
        <a:noFill/>
        <a:ln>
          <a:noFill/>
        </a:ln>
        <a:effectLst/>
      </c:spPr>
      <c:txPr>
        <a:bodyPr rot="0" spcFirstLastPara="1" vertOverflow="ellipsis" vert="horz" wrap="square" anchor="ctr" anchorCtr="1"/>
        <a:lstStyle/>
        <a:p>
          <a:pPr algn="l">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Tables'!$E$40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92-4638-8470-64EFF1EC09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92-4638-8470-64EFF1EC09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92-4638-8470-64EFF1EC09CF}"/>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Tables'!$E$40</c:f>
              <c:strCache>
                <c:ptCount val="3"/>
                <c:pt idx="0">
                  <c:v>Taste</c:v>
                </c:pt>
                <c:pt idx="1">
                  <c:v>Brand Loyalty</c:v>
                </c:pt>
                <c:pt idx="2">
                  <c:v>Price</c:v>
                </c:pt>
              </c:strCache>
            </c:strRef>
          </c:cat>
          <c:val>
            <c:numRef>
              <c:f>'Pivot Tables'!$E$40</c:f>
              <c:numCache>
                <c:formatCode>General</c:formatCode>
                <c:ptCount val="3"/>
                <c:pt idx="0">
                  <c:v>8</c:v>
                </c:pt>
                <c:pt idx="1">
                  <c:v>4</c:v>
                </c:pt>
                <c:pt idx="2">
                  <c:v>2</c:v>
                </c:pt>
              </c:numCache>
            </c:numRef>
          </c:val>
          <c:extLst>
            <c:ext xmlns:c16="http://schemas.microsoft.com/office/drawing/2014/chart" uri="{C3380CC4-5D6E-409C-BE32-E72D297353CC}">
              <c16:uniqueId val="{00000007-17B4-43D3-8AF6-83D3FD90A40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63500" dir="5400000" algn="ctr" rotWithShape="0">
        <a:schemeClr val="tx1">
          <a:lumMod val="50000"/>
          <a:lumOff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excel - shopkeepers.xlsx]Pivot Tables!PivotTable7</c:name>
    <c:fmtId val="2"/>
  </c:pivotSource>
  <c:chart>
    <c:title>
      <c:tx>
        <c:strRef>
          <c:f>'Pivot Tables'!$E$41</c:f>
          <c:strCache>
            <c:ptCount val="1"/>
            <c:pt idx="0">
              <c:v>High - Impact Marketing &amp; Promotional Offers</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Tables'!$E$41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Tables'!$E$41</c:f>
              <c:strCache>
                <c:ptCount val="4"/>
                <c:pt idx="0">
                  <c:v>Discount offers</c:v>
                </c:pt>
                <c:pt idx="1">
                  <c:v>Buy 1 Get 1 Free</c:v>
                </c:pt>
                <c:pt idx="2">
                  <c:v>No signifacant impact from promotions</c:v>
                </c:pt>
                <c:pt idx="3">
                  <c:v>Free samples from brands</c:v>
                </c:pt>
              </c:strCache>
            </c:strRef>
          </c:cat>
          <c:val>
            <c:numRef>
              <c:f>'Pivot Tables'!$E$41</c:f>
              <c:numCache>
                <c:formatCode>General</c:formatCode>
                <c:ptCount val="4"/>
                <c:pt idx="0">
                  <c:v>7</c:v>
                </c:pt>
                <c:pt idx="1">
                  <c:v>3</c:v>
                </c:pt>
                <c:pt idx="2">
                  <c:v>3</c:v>
                </c:pt>
                <c:pt idx="3">
                  <c:v>1</c:v>
                </c:pt>
              </c:numCache>
            </c:numRef>
          </c:val>
          <c:extLst>
            <c:ext xmlns:c16="http://schemas.microsoft.com/office/drawing/2014/chart" uri="{C3380CC4-5D6E-409C-BE32-E72D297353CC}">
              <c16:uniqueId val="{00000001-CDF1-4F15-B66F-33F4DEB1A95B}"/>
            </c:ext>
          </c:extLst>
        </c:ser>
        <c:dLbls>
          <c:dLblPos val="inEnd"/>
          <c:showLegendKey val="0"/>
          <c:showVal val="1"/>
          <c:showCatName val="0"/>
          <c:showSerName val="0"/>
          <c:showPercent val="0"/>
          <c:showBubbleSize val="0"/>
        </c:dLbls>
        <c:gapWidth val="120"/>
        <c:overlap val="100"/>
        <c:axId val="303054816"/>
        <c:axId val="303056064"/>
      </c:barChart>
      <c:catAx>
        <c:axId val="30305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03056064"/>
        <c:crosses val="autoZero"/>
        <c:auto val="1"/>
        <c:lblAlgn val="ctr"/>
        <c:lblOffset val="100"/>
        <c:noMultiLvlLbl val="0"/>
      </c:catAx>
      <c:valAx>
        <c:axId val="30305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03054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63500" dir="5400000" algn="ctr" rotWithShape="0">
        <a:schemeClr val="tx1">
          <a:lumMod val="50000"/>
          <a:lumOff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excel - shopkeepers.xlsx]Pivot Tables!PivotTable5</c:name>
    <c:fmtId val="2"/>
  </c:pivotSource>
  <c:chart>
    <c:title>
      <c:tx>
        <c:strRef>
          <c:f>'Pivot Tables'!$E$42</c:f>
          <c:strCache>
            <c:ptCount val="1"/>
            <c:pt idx="0">
              <c:v>Retail Velocity: Average Daily Units Sold</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0676328502415459E-2"/>
              <c:y val="-0.2645833333333333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7894524959742537E-2"/>
              <c:y val="-5.354662698412698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919887278582935E-2"/>
          <c:y val="0.1136763392857143"/>
          <c:w val="0.83515297906602248"/>
          <c:h val="0.81010391865079368"/>
        </c:manualLayout>
      </c:layout>
      <c:areaChart>
        <c:grouping val="standard"/>
        <c:varyColors val="0"/>
        <c:ser>
          <c:idx val="0"/>
          <c:order val="0"/>
          <c:tx>
            <c:strRef>
              <c:f>'Pivot Tables'!$E$42</c:f>
              <c:strCache>
                <c:ptCount val="1"/>
                <c:pt idx="0">
                  <c:v>Total</c:v>
                </c:pt>
              </c:strCache>
            </c:strRef>
          </c:tx>
          <c:spPr>
            <a:solidFill>
              <a:schemeClr val="accent1"/>
            </a:solidFill>
            <a:ln w="25400">
              <a:noFill/>
            </a:ln>
            <a:effectLst/>
          </c:spPr>
          <c:dPt>
            <c:idx val="0"/>
            <c:bubble3D val="0"/>
            <c:spPr>
              <a:solidFill>
                <a:schemeClr val="accent1"/>
              </a:solidFill>
              <a:ln>
                <a:noFill/>
              </a:ln>
              <a:effectLst/>
            </c:spPr>
            <c:extLst>
              <c:ext xmlns:c16="http://schemas.microsoft.com/office/drawing/2014/chart" uri="{C3380CC4-5D6E-409C-BE32-E72D297353CC}">
                <c16:uniqueId val="{00000001-B46D-4E5D-B012-971ABA203CC6}"/>
              </c:ext>
            </c:extLst>
          </c:dPt>
          <c:dPt>
            <c:idx val="2"/>
            <c:bubble3D val="0"/>
            <c:spPr>
              <a:solidFill>
                <a:schemeClr val="accent1"/>
              </a:solidFill>
              <a:ln>
                <a:noFill/>
              </a:ln>
              <a:effectLst/>
            </c:spPr>
            <c:extLst>
              <c:ext xmlns:c16="http://schemas.microsoft.com/office/drawing/2014/chart" uri="{C3380CC4-5D6E-409C-BE32-E72D297353CC}">
                <c16:uniqueId val="{00000003-B46D-4E5D-B012-971ABA203CC6}"/>
              </c:ext>
            </c:extLst>
          </c:dPt>
          <c:dLbls>
            <c:dLbl>
              <c:idx val="0"/>
              <c:layout>
                <c:manualLayout>
                  <c:x val="3.0676328502415459E-2"/>
                  <c:y val="-0.264583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6D-4E5D-B012-971ABA203CC6}"/>
                </c:ext>
              </c:extLst>
            </c:dLbl>
            <c:dLbl>
              <c:idx val="2"/>
              <c:layout>
                <c:manualLayout>
                  <c:x val="-1.7894524959742537E-2"/>
                  <c:y val="-5.35466269841269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6D-4E5D-B012-971ABA203CC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Tables'!$E$42</c:f>
              <c:strCache>
                <c:ptCount val="3"/>
                <c:pt idx="0">
                  <c:v>10-30 packs</c:v>
                </c:pt>
                <c:pt idx="1">
                  <c:v>More than 50 packs</c:v>
                </c:pt>
                <c:pt idx="2">
                  <c:v>30-50 packs</c:v>
                </c:pt>
              </c:strCache>
            </c:strRef>
          </c:cat>
          <c:val>
            <c:numRef>
              <c:f>'Pivot Tables'!$E$42</c:f>
              <c:numCache>
                <c:formatCode>General</c:formatCode>
                <c:ptCount val="3"/>
                <c:pt idx="0">
                  <c:v>7</c:v>
                </c:pt>
                <c:pt idx="1">
                  <c:v>4</c:v>
                </c:pt>
                <c:pt idx="2">
                  <c:v>3</c:v>
                </c:pt>
              </c:numCache>
            </c:numRef>
          </c:val>
          <c:extLst>
            <c:ext xmlns:c16="http://schemas.microsoft.com/office/drawing/2014/chart" uri="{C3380CC4-5D6E-409C-BE32-E72D297353CC}">
              <c16:uniqueId val="{00000001-4A3D-44B5-8C10-F562FB88A511}"/>
            </c:ext>
          </c:extLst>
        </c:ser>
        <c:dLbls>
          <c:showLegendKey val="0"/>
          <c:showVal val="1"/>
          <c:showCatName val="0"/>
          <c:showSerName val="0"/>
          <c:showPercent val="0"/>
          <c:showBubbleSize val="0"/>
        </c:dLbls>
        <c:axId val="290630320"/>
        <c:axId val="290632400"/>
      </c:areaChart>
      <c:catAx>
        <c:axId val="290630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90632400"/>
        <c:crosses val="autoZero"/>
        <c:auto val="1"/>
        <c:lblAlgn val="ctr"/>
        <c:lblOffset val="100"/>
        <c:noMultiLvlLbl val="0"/>
      </c:catAx>
      <c:valAx>
        <c:axId val="290632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9063032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63500" dir="5400000" algn="ctr" rotWithShape="0">
        <a:schemeClr val="tx1">
          <a:lumMod val="50000"/>
          <a:lumOff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97968</xdr:colOff>
      <xdr:row>7</xdr:row>
      <xdr:rowOff>10884</xdr:rowOff>
    </xdr:from>
    <xdr:to>
      <xdr:col>9</xdr:col>
      <xdr:colOff>191568</xdr:colOff>
      <xdr:row>27</xdr:row>
      <xdr:rowOff>161741</xdr:rowOff>
    </xdr:to>
    <xdr:graphicFrame macro="">
      <xdr:nvGraphicFramePr>
        <xdr:cNvPr id="2" name="Chart 1">
          <a:extLst>
            <a:ext uri="{FF2B5EF4-FFF2-40B4-BE49-F238E27FC236}">
              <a16:creationId xmlns:a16="http://schemas.microsoft.com/office/drawing/2014/main" id="{AC732BE4-1DB3-4ABF-A0DD-DCC154D26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272141</xdr:colOff>
      <xdr:row>7</xdr:row>
      <xdr:rowOff>10884</xdr:rowOff>
    </xdr:from>
    <xdr:to>
      <xdr:col>18</xdr:col>
      <xdr:colOff>365741</xdr:colOff>
      <xdr:row>27</xdr:row>
      <xdr:rowOff>161741</xdr:rowOff>
    </xdr:to>
    <xdr:graphicFrame macro="">
      <xdr:nvGraphicFramePr>
        <xdr:cNvPr id="3" name="Chart 2">
          <a:extLst>
            <a:ext uri="{FF2B5EF4-FFF2-40B4-BE49-F238E27FC236}">
              <a16:creationId xmlns:a16="http://schemas.microsoft.com/office/drawing/2014/main" id="{E30024BE-28E2-459C-AF52-8A2999C02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446314</xdr:colOff>
      <xdr:row>7</xdr:row>
      <xdr:rowOff>10884</xdr:rowOff>
    </xdr:from>
    <xdr:to>
      <xdr:col>27</xdr:col>
      <xdr:colOff>539914</xdr:colOff>
      <xdr:row>27</xdr:row>
      <xdr:rowOff>161741</xdr:rowOff>
    </xdr:to>
    <xdr:graphicFrame macro="">
      <xdr:nvGraphicFramePr>
        <xdr:cNvPr id="4" name="Chart 3">
          <a:extLst>
            <a:ext uri="{FF2B5EF4-FFF2-40B4-BE49-F238E27FC236}">
              <a16:creationId xmlns:a16="http://schemas.microsoft.com/office/drawing/2014/main" id="{BF84900A-8596-4FAC-A194-2FBDCF859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87086</xdr:colOff>
      <xdr:row>28</xdr:row>
      <xdr:rowOff>65316</xdr:rowOff>
    </xdr:from>
    <xdr:to>
      <xdr:col>8</xdr:col>
      <xdr:colOff>178286</xdr:colOff>
      <xdr:row>50</xdr:row>
      <xdr:rowOff>26059</xdr:rowOff>
    </xdr:to>
    <xdr:graphicFrame macro="">
      <xdr:nvGraphicFramePr>
        <xdr:cNvPr id="5" name="Chart 4">
          <a:extLst>
            <a:ext uri="{FF2B5EF4-FFF2-40B4-BE49-F238E27FC236}">
              <a16:creationId xmlns:a16="http://schemas.microsoft.com/office/drawing/2014/main" id="{FD9B1D26-C0D7-448E-8DEE-B41E30ECA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286686</xdr:colOff>
      <xdr:row>28</xdr:row>
      <xdr:rowOff>65316</xdr:rowOff>
    </xdr:from>
    <xdr:to>
      <xdr:col>16</xdr:col>
      <xdr:colOff>377886</xdr:colOff>
      <xdr:row>50</xdr:row>
      <xdr:rowOff>26059</xdr:rowOff>
    </xdr:to>
    <xdr:graphicFrame macro="">
      <xdr:nvGraphicFramePr>
        <xdr:cNvPr id="6" name="Chart 5">
          <a:extLst>
            <a:ext uri="{FF2B5EF4-FFF2-40B4-BE49-F238E27FC236}">
              <a16:creationId xmlns:a16="http://schemas.microsoft.com/office/drawing/2014/main" id="{A0413984-A787-4AC5-B1A7-5837C68DF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486286</xdr:colOff>
      <xdr:row>28</xdr:row>
      <xdr:rowOff>65316</xdr:rowOff>
    </xdr:from>
    <xdr:to>
      <xdr:col>24</xdr:col>
      <xdr:colOff>577486</xdr:colOff>
      <xdr:row>50</xdr:row>
      <xdr:rowOff>26059</xdr:rowOff>
    </xdr:to>
    <xdr:graphicFrame macro="">
      <xdr:nvGraphicFramePr>
        <xdr:cNvPr id="7" name="Chart 6">
          <a:extLst>
            <a:ext uri="{FF2B5EF4-FFF2-40B4-BE49-F238E27FC236}">
              <a16:creationId xmlns:a16="http://schemas.microsoft.com/office/drawing/2014/main" id="{FA146FD9-2DBC-4B6E-9DC1-255B7DE3D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76287</xdr:colOff>
      <xdr:row>28</xdr:row>
      <xdr:rowOff>65316</xdr:rowOff>
    </xdr:from>
    <xdr:to>
      <xdr:col>33</xdr:col>
      <xdr:colOff>167487</xdr:colOff>
      <xdr:row>50</xdr:row>
      <xdr:rowOff>26059</xdr:rowOff>
    </xdr:to>
    <xdr:graphicFrame macro="">
      <xdr:nvGraphicFramePr>
        <xdr:cNvPr id="9" name="Chart 8">
          <a:extLst>
            <a:ext uri="{FF2B5EF4-FFF2-40B4-BE49-F238E27FC236}">
              <a16:creationId xmlns:a16="http://schemas.microsoft.com/office/drawing/2014/main" id="{5A1152C7-A2D5-4066-99A2-2F856DD78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28</xdr:col>
      <xdr:colOff>65314</xdr:colOff>
      <xdr:row>7</xdr:row>
      <xdr:rowOff>32656</xdr:rowOff>
    </xdr:from>
    <xdr:to>
      <xdr:col>33</xdr:col>
      <xdr:colOff>437314</xdr:colOff>
      <xdr:row>11</xdr:row>
      <xdr:rowOff>12427</xdr:rowOff>
    </xdr:to>
    <mc:AlternateContent xmlns:mc="http://schemas.openxmlformats.org/markup-compatibility/2006" xmlns:a14="http://schemas.microsoft.com/office/drawing/2010/main">
      <mc:Choice Requires="a14">
        <xdr:graphicFrame macro="">
          <xdr:nvGraphicFramePr>
            <xdr:cNvPr id="10" name="Store Type">
              <a:extLst>
                <a:ext uri="{FF2B5EF4-FFF2-40B4-BE49-F238E27FC236}">
                  <a16:creationId xmlns:a16="http://schemas.microsoft.com/office/drawing/2014/main" id="{9D7A0C15-8D66-4AFD-90FD-9193AB6D1E7D}"/>
                </a:ext>
              </a:extLst>
            </xdr:cNvPr>
            <xdr:cNvGraphicFramePr/>
          </xdr:nvGraphicFramePr>
          <xdr:xfrm>
            <a:off x="0" y="0"/>
            <a:ext cx="0" cy="0"/>
          </xdr:xfrm>
          <a:graphic>
            <a:graphicData uri="http://schemas.microsoft.com/office/drawing/2010/slicer">
              <sle:slicer xmlns:sle="http://schemas.microsoft.com/office/drawing/2010/slicer" name="Store Type"/>
            </a:graphicData>
          </a:graphic>
        </xdr:graphicFrame>
      </mc:Choice>
      <mc:Fallback xmlns="">
        <xdr:sp macro="" textlink="">
          <xdr:nvSpPr>
            <xdr:cNvPr id="0" name=""/>
            <xdr:cNvSpPr>
              <a:spLocks noTextEdit="1"/>
            </xdr:cNvSpPr>
          </xdr:nvSpPr>
          <xdr:spPr>
            <a:xfrm>
              <a:off x="17134114" y="1328056"/>
              <a:ext cx="3420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65313</xdr:colOff>
      <xdr:row>11</xdr:row>
      <xdr:rowOff>87086</xdr:rowOff>
    </xdr:from>
    <xdr:to>
      <xdr:col>33</xdr:col>
      <xdr:colOff>437313</xdr:colOff>
      <xdr:row>15</xdr:row>
      <xdr:rowOff>66858</xdr:rowOff>
    </xdr:to>
    <mc:AlternateContent xmlns:mc="http://schemas.openxmlformats.org/markup-compatibility/2006" xmlns:a14="http://schemas.microsoft.com/office/drawing/2010/main">
      <mc:Choice Requires="a14">
        <xdr:graphicFrame macro="">
          <xdr:nvGraphicFramePr>
            <xdr:cNvPr id="11" name="Years in Business">
              <a:extLst>
                <a:ext uri="{FF2B5EF4-FFF2-40B4-BE49-F238E27FC236}">
                  <a16:creationId xmlns:a16="http://schemas.microsoft.com/office/drawing/2014/main" id="{4D011DE4-5B31-49FF-BFB1-9967B60CC039}"/>
                </a:ext>
              </a:extLst>
            </xdr:cNvPr>
            <xdr:cNvGraphicFramePr/>
          </xdr:nvGraphicFramePr>
          <xdr:xfrm>
            <a:off x="0" y="0"/>
            <a:ext cx="0" cy="0"/>
          </xdr:xfrm>
          <a:graphic>
            <a:graphicData uri="http://schemas.microsoft.com/office/drawing/2010/slicer">
              <sle:slicer xmlns:sle="http://schemas.microsoft.com/office/drawing/2010/slicer" name="Years in Business"/>
            </a:graphicData>
          </a:graphic>
        </xdr:graphicFrame>
      </mc:Choice>
      <mc:Fallback xmlns="">
        <xdr:sp macro="" textlink="">
          <xdr:nvSpPr>
            <xdr:cNvPr id="0" name=""/>
            <xdr:cNvSpPr>
              <a:spLocks noTextEdit="1"/>
            </xdr:cNvSpPr>
          </xdr:nvSpPr>
          <xdr:spPr>
            <a:xfrm>
              <a:off x="17134113" y="2122715"/>
              <a:ext cx="3420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522514</xdr:colOff>
      <xdr:row>1</xdr:row>
      <xdr:rowOff>0</xdr:rowOff>
    </xdr:from>
    <xdr:to>
      <xdr:col>33</xdr:col>
      <xdr:colOff>163285</xdr:colOff>
      <xdr:row>6</xdr:row>
      <xdr:rowOff>10886</xdr:rowOff>
    </xdr:to>
    <xdr:sp macro="" textlink="">
      <xdr:nvSpPr>
        <xdr:cNvPr id="12" name="TextBox 11">
          <a:extLst>
            <a:ext uri="{FF2B5EF4-FFF2-40B4-BE49-F238E27FC236}">
              <a16:creationId xmlns:a16="http://schemas.microsoft.com/office/drawing/2014/main" id="{8E1B2AEE-26E0-4488-ADF8-1D7A240CDF29}"/>
            </a:ext>
          </a:extLst>
        </xdr:cNvPr>
        <xdr:cNvSpPr txBox="1"/>
      </xdr:nvSpPr>
      <xdr:spPr>
        <a:xfrm>
          <a:off x="522514" y="185057"/>
          <a:ext cx="19757571" cy="93617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tx1">
                  <a:lumMod val="85000"/>
                  <a:lumOff val="15000"/>
                </a:schemeClr>
              </a:solidFill>
            </a:rPr>
            <a:t>Biscuit</a:t>
          </a:r>
          <a:r>
            <a:rPr lang="en-IN" sz="3200" b="1" baseline="0">
              <a:solidFill>
                <a:schemeClr val="tx1">
                  <a:lumMod val="85000"/>
                  <a:lumOff val="15000"/>
                </a:schemeClr>
              </a:solidFill>
            </a:rPr>
            <a:t> Market Insights &amp; Retail Performance Dashboard</a:t>
          </a:r>
          <a:endParaRPr lang="en-IN" sz="3200" b="1">
            <a:solidFill>
              <a:schemeClr val="tx1">
                <a:lumMod val="85000"/>
                <a:lumOff val="15000"/>
              </a:schemeClr>
            </a:solidFill>
          </a:endParaRPr>
        </a:p>
      </xdr:txBody>
    </xdr:sp>
    <xdr:clientData/>
  </xdr:twoCellAnchor>
  <xdr:twoCellAnchor>
    <xdr:from>
      <xdr:col>28</xdr:col>
      <xdr:colOff>54428</xdr:colOff>
      <xdr:row>15</xdr:row>
      <xdr:rowOff>174171</xdr:rowOff>
    </xdr:from>
    <xdr:to>
      <xdr:col>30</xdr:col>
      <xdr:colOff>527228</xdr:colOff>
      <xdr:row>21</xdr:row>
      <xdr:rowOff>143828</xdr:rowOff>
    </xdr:to>
    <xdr:sp macro="" textlink="">
      <xdr:nvSpPr>
        <xdr:cNvPr id="13" name="Rectangle: Rounded Corners 12">
          <a:extLst>
            <a:ext uri="{FF2B5EF4-FFF2-40B4-BE49-F238E27FC236}">
              <a16:creationId xmlns:a16="http://schemas.microsoft.com/office/drawing/2014/main" id="{4947F697-FBCB-40FE-9DED-8FBB507871E2}"/>
            </a:ext>
          </a:extLst>
        </xdr:cNvPr>
        <xdr:cNvSpPr/>
      </xdr:nvSpPr>
      <xdr:spPr>
        <a:xfrm>
          <a:off x="17123228" y="2950028"/>
          <a:ext cx="1692000" cy="1080000"/>
        </a:xfrm>
        <a:prstGeom prst="roundRect">
          <a:avLst/>
        </a:prstGeom>
        <a:solidFill>
          <a:schemeClr val="bg2">
            <a:lumMod val="90000"/>
          </a:schemeClr>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598713</xdr:colOff>
      <xdr:row>15</xdr:row>
      <xdr:rowOff>174171</xdr:rowOff>
    </xdr:from>
    <xdr:to>
      <xdr:col>33</xdr:col>
      <xdr:colOff>461913</xdr:colOff>
      <xdr:row>21</xdr:row>
      <xdr:rowOff>143828</xdr:rowOff>
    </xdr:to>
    <xdr:sp macro="" textlink="">
      <xdr:nvSpPr>
        <xdr:cNvPr id="17" name="Rectangle: Rounded Corners 16">
          <a:extLst>
            <a:ext uri="{FF2B5EF4-FFF2-40B4-BE49-F238E27FC236}">
              <a16:creationId xmlns:a16="http://schemas.microsoft.com/office/drawing/2014/main" id="{E2C4457D-1341-4EB2-9CA8-596AC349F9C4}"/>
            </a:ext>
          </a:extLst>
        </xdr:cNvPr>
        <xdr:cNvSpPr/>
      </xdr:nvSpPr>
      <xdr:spPr>
        <a:xfrm>
          <a:off x="18886713" y="2950028"/>
          <a:ext cx="1692000" cy="1080000"/>
        </a:xfrm>
        <a:prstGeom prst="roundRect">
          <a:avLst/>
        </a:prstGeom>
        <a:solidFill>
          <a:schemeClr val="bg2">
            <a:lumMod val="90000"/>
          </a:schemeClr>
        </a:solidFill>
        <a:ln>
          <a:solidFill>
            <a:schemeClr val="tx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65314</xdr:colOff>
      <xdr:row>22</xdr:row>
      <xdr:rowOff>21772</xdr:rowOff>
    </xdr:from>
    <xdr:to>
      <xdr:col>30</xdr:col>
      <xdr:colOff>538114</xdr:colOff>
      <xdr:row>27</xdr:row>
      <xdr:rowOff>176486</xdr:rowOff>
    </xdr:to>
    <xdr:sp macro="" textlink="">
      <xdr:nvSpPr>
        <xdr:cNvPr id="18" name="Rectangle: Rounded Corners 17">
          <a:extLst>
            <a:ext uri="{FF2B5EF4-FFF2-40B4-BE49-F238E27FC236}">
              <a16:creationId xmlns:a16="http://schemas.microsoft.com/office/drawing/2014/main" id="{B11154DA-D286-4A4E-BA00-F65168D4CB1B}"/>
            </a:ext>
          </a:extLst>
        </xdr:cNvPr>
        <xdr:cNvSpPr/>
      </xdr:nvSpPr>
      <xdr:spPr>
        <a:xfrm>
          <a:off x="17134114" y="4093029"/>
          <a:ext cx="1692000" cy="1080000"/>
        </a:xfrm>
        <a:prstGeom prst="roundRect">
          <a:avLst/>
        </a:prstGeom>
        <a:solidFill>
          <a:schemeClr val="bg2">
            <a:lumMod val="90000"/>
          </a:schemeClr>
        </a:solidFill>
        <a:ln>
          <a:solidFill>
            <a:schemeClr val="tx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10885</xdr:colOff>
      <xdr:row>22</xdr:row>
      <xdr:rowOff>21772</xdr:rowOff>
    </xdr:from>
    <xdr:to>
      <xdr:col>33</xdr:col>
      <xdr:colOff>483685</xdr:colOff>
      <xdr:row>27</xdr:row>
      <xdr:rowOff>176486</xdr:rowOff>
    </xdr:to>
    <xdr:sp macro="" textlink="">
      <xdr:nvSpPr>
        <xdr:cNvPr id="19" name="Rectangle: Rounded Corners 18">
          <a:extLst>
            <a:ext uri="{FF2B5EF4-FFF2-40B4-BE49-F238E27FC236}">
              <a16:creationId xmlns:a16="http://schemas.microsoft.com/office/drawing/2014/main" id="{9C37F99A-E6BA-4132-B103-5FDCDC38C62E}"/>
            </a:ext>
          </a:extLst>
        </xdr:cNvPr>
        <xdr:cNvSpPr/>
      </xdr:nvSpPr>
      <xdr:spPr>
        <a:xfrm>
          <a:off x="18908485" y="4093029"/>
          <a:ext cx="1692000" cy="1080000"/>
        </a:xfrm>
        <a:prstGeom prst="roundRect">
          <a:avLst/>
        </a:prstGeom>
        <a:solidFill>
          <a:schemeClr val="bg2">
            <a:lumMod val="90000"/>
          </a:schemeClr>
        </a:solidFill>
        <a:ln>
          <a:solidFill>
            <a:schemeClr val="tx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272143</xdr:colOff>
      <xdr:row>15</xdr:row>
      <xdr:rowOff>119742</xdr:rowOff>
    </xdr:from>
    <xdr:to>
      <xdr:col>30</xdr:col>
      <xdr:colOff>370115</xdr:colOff>
      <xdr:row>18</xdr:row>
      <xdr:rowOff>152399</xdr:rowOff>
    </xdr:to>
    <xdr:sp macro="" textlink="">
      <xdr:nvSpPr>
        <xdr:cNvPr id="20" name="TextBox 19">
          <a:extLst>
            <a:ext uri="{FF2B5EF4-FFF2-40B4-BE49-F238E27FC236}">
              <a16:creationId xmlns:a16="http://schemas.microsoft.com/office/drawing/2014/main" id="{41653DDB-FEE7-4BEB-B96D-B27C6706C478}"/>
            </a:ext>
          </a:extLst>
        </xdr:cNvPr>
        <xdr:cNvSpPr txBox="1"/>
      </xdr:nvSpPr>
      <xdr:spPr>
        <a:xfrm>
          <a:off x="17340943" y="2895599"/>
          <a:ext cx="1317172" cy="587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65000"/>
                  <a:lumOff val="35000"/>
                </a:schemeClr>
              </a:solidFill>
            </a:rPr>
            <a:t>TOTAL SHOPS</a:t>
          </a:r>
          <a:r>
            <a:rPr lang="en-IN" sz="1400" b="1" baseline="0">
              <a:solidFill>
                <a:schemeClr val="tx1">
                  <a:lumMod val="65000"/>
                  <a:lumOff val="35000"/>
                </a:schemeClr>
              </a:solidFill>
            </a:rPr>
            <a:t> SURVEYED</a:t>
          </a:r>
          <a:endParaRPr lang="en-IN" sz="1400" b="1">
            <a:solidFill>
              <a:schemeClr val="tx1">
                <a:lumMod val="65000"/>
                <a:lumOff val="35000"/>
              </a:schemeClr>
            </a:solidFill>
          </a:endParaRPr>
        </a:p>
      </xdr:txBody>
    </xdr:sp>
    <xdr:clientData/>
  </xdr:twoCellAnchor>
  <xdr:twoCellAnchor>
    <xdr:from>
      <xdr:col>28</xdr:col>
      <xdr:colOff>566056</xdr:colOff>
      <xdr:row>18</xdr:row>
      <xdr:rowOff>119741</xdr:rowOff>
    </xdr:from>
    <xdr:to>
      <xdr:col>30</xdr:col>
      <xdr:colOff>130627</xdr:colOff>
      <xdr:row>20</xdr:row>
      <xdr:rowOff>174170</xdr:rowOff>
    </xdr:to>
    <xdr:sp macro="" textlink="">
      <xdr:nvSpPr>
        <xdr:cNvPr id="21" name="TextBox 20">
          <a:extLst>
            <a:ext uri="{FF2B5EF4-FFF2-40B4-BE49-F238E27FC236}">
              <a16:creationId xmlns:a16="http://schemas.microsoft.com/office/drawing/2014/main" id="{95CF7AA0-3677-4E0E-A304-80DA9606EBFE}"/>
            </a:ext>
          </a:extLst>
        </xdr:cNvPr>
        <xdr:cNvSpPr txBox="1"/>
      </xdr:nvSpPr>
      <xdr:spPr>
        <a:xfrm>
          <a:off x="17634856" y="3450770"/>
          <a:ext cx="783771"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1">
                  <a:lumMod val="75000"/>
                  <a:lumOff val="25000"/>
                </a:schemeClr>
              </a:solidFill>
            </a:rPr>
            <a:t>14</a:t>
          </a:r>
        </a:p>
      </xdr:txBody>
    </xdr:sp>
    <xdr:clientData/>
  </xdr:twoCellAnchor>
  <xdr:twoCellAnchor>
    <xdr:from>
      <xdr:col>31</xdr:col>
      <xdr:colOff>185057</xdr:colOff>
      <xdr:row>15</xdr:row>
      <xdr:rowOff>130628</xdr:rowOff>
    </xdr:from>
    <xdr:to>
      <xdr:col>33</xdr:col>
      <xdr:colOff>283029</xdr:colOff>
      <xdr:row>18</xdr:row>
      <xdr:rowOff>163285</xdr:rowOff>
    </xdr:to>
    <xdr:sp macro="" textlink="">
      <xdr:nvSpPr>
        <xdr:cNvPr id="23" name="TextBox 22">
          <a:extLst>
            <a:ext uri="{FF2B5EF4-FFF2-40B4-BE49-F238E27FC236}">
              <a16:creationId xmlns:a16="http://schemas.microsoft.com/office/drawing/2014/main" id="{1F54E4D0-A0E7-43D5-8127-EA6DBC54E635}"/>
            </a:ext>
          </a:extLst>
        </xdr:cNvPr>
        <xdr:cNvSpPr txBox="1"/>
      </xdr:nvSpPr>
      <xdr:spPr>
        <a:xfrm>
          <a:off x="19082657" y="2906485"/>
          <a:ext cx="1317172" cy="587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65000"/>
                  <a:lumOff val="35000"/>
                </a:schemeClr>
              </a:solidFill>
            </a:rPr>
            <a:t>TOP</a:t>
          </a:r>
          <a:r>
            <a:rPr lang="en-IN" sz="1400" b="1" baseline="0">
              <a:solidFill>
                <a:schemeClr val="tx1">
                  <a:lumMod val="65000"/>
                  <a:lumOff val="35000"/>
                </a:schemeClr>
              </a:solidFill>
            </a:rPr>
            <a:t> BRAND</a:t>
          </a:r>
          <a:endParaRPr lang="en-IN" sz="1400" b="1">
            <a:solidFill>
              <a:schemeClr val="tx1">
                <a:lumMod val="65000"/>
                <a:lumOff val="35000"/>
              </a:schemeClr>
            </a:solidFill>
          </a:endParaRPr>
        </a:p>
      </xdr:txBody>
    </xdr:sp>
    <xdr:clientData/>
  </xdr:twoCellAnchor>
  <xdr:twoCellAnchor>
    <xdr:from>
      <xdr:col>31</xdr:col>
      <xdr:colOff>87085</xdr:colOff>
      <xdr:row>18</xdr:row>
      <xdr:rowOff>119741</xdr:rowOff>
    </xdr:from>
    <xdr:to>
      <xdr:col>33</xdr:col>
      <xdr:colOff>381000</xdr:colOff>
      <xdr:row>20</xdr:row>
      <xdr:rowOff>174170</xdr:rowOff>
    </xdr:to>
    <xdr:sp macro="" textlink="">
      <xdr:nvSpPr>
        <xdr:cNvPr id="22" name="TextBox 21">
          <a:extLst>
            <a:ext uri="{FF2B5EF4-FFF2-40B4-BE49-F238E27FC236}">
              <a16:creationId xmlns:a16="http://schemas.microsoft.com/office/drawing/2014/main" id="{048C9EDD-9983-4112-99C0-9E0F8B2C695C}"/>
            </a:ext>
          </a:extLst>
        </xdr:cNvPr>
        <xdr:cNvSpPr txBox="1"/>
      </xdr:nvSpPr>
      <xdr:spPr>
        <a:xfrm>
          <a:off x="18984685" y="3450770"/>
          <a:ext cx="1513115"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1">
                  <a:lumMod val="75000"/>
                  <a:lumOff val="25000"/>
                </a:schemeClr>
              </a:solidFill>
            </a:rPr>
            <a:t>Parle</a:t>
          </a:r>
          <a:r>
            <a:rPr lang="en-IN" sz="2000" b="1" baseline="0">
              <a:solidFill>
                <a:schemeClr val="tx1">
                  <a:lumMod val="75000"/>
                  <a:lumOff val="25000"/>
                </a:schemeClr>
              </a:solidFill>
            </a:rPr>
            <a:t> - G</a:t>
          </a:r>
          <a:endParaRPr lang="en-IN" sz="2000" b="1">
            <a:solidFill>
              <a:schemeClr val="tx1">
                <a:lumMod val="75000"/>
                <a:lumOff val="25000"/>
              </a:schemeClr>
            </a:solidFill>
          </a:endParaRPr>
        </a:p>
      </xdr:txBody>
    </xdr:sp>
    <xdr:clientData/>
  </xdr:twoCellAnchor>
  <xdr:twoCellAnchor>
    <xdr:from>
      <xdr:col>28</xdr:col>
      <xdr:colOff>283028</xdr:colOff>
      <xdr:row>22</xdr:row>
      <xdr:rowOff>21772</xdr:rowOff>
    </xdr:from>
    <xdr:to>
      <xdr:col>30</xdr:col>
      <xdr:colOff>381000</xdr:colOff>
      <xdr:row>25</xdr:row>
      <xdr:rowOff>54429</xdr:rowOff>
    </xdr:to>
    <xdr:sp macro="" textlink="">
      <xdr:nvSpPr>
        <xdr:cNvPr id="24" name="TextBox 23">
          <a:extLst>
            <a:ext uri="{FF2B5EF4-FFF2-40B4-BE49-F238E27FC236}">
              <a16:creationId xmlns:a16="http://schemas.microsoft.com/office/drawing/2014/main" id="{B192C8B5-9CCA-470D-ACFD-BC330712FA8D}"/>
            </a:ext>
          </a:extLst>
        </xdr:cNvPr>
        <xdr:cNvSpPr txBox="1"/>
      </xdr:nvSpPr>
      <xdr:spPr>
        <a:xfrm>
          <a:off x="17351828" y="4093029"/>
          <a:ext cx="1317172" cy="587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65000"/>
                  <a:lumOff val="35000"/>
                </a:schemeClr>
              </a:solidFill>
            </a:rPr>
            <a:t>CORE</a:t>
          </a:r>
          <a:r>
            <a:rPr lang="en-IN" sz="1400" b="1" baseline="0">
              <a:solidFill>
                <a:schemeClr val="tx1">
                  <a:lumMod val="65000"/>
                  <a:lumOff val="35000"/>
                </a:schemeClr>
              </a:solidFill>
            </a:rPr>
            <a:t> CUSTOMER</a:t>
          </a:r>
          <a:endParaRPr lang="en-IN" sz="1400" b="1">
            <a:solidFill>
              <a:schemeClr val="tx1">
                <a:lumMod val="65000"/>
                <a:lumOff val="35000"/>
              </a:schemeClr>
            </a:solidFill>
          </a:endParaRPr>
        </a:p>
      </xdr:txBody>
    </xdr:sp>
    <xdr:clientData/>
  </xdr:twoCellAnchor>
  <xdr:twoCellAnchor>
    <xdr:from>
      <xdr:col>28</xdr:col>
      <xdr:colOff>54429</xdr:colOff>
      <xdr:row>25</xdr:row>
      <xdr:rowOff>0</xdr:rowOff>
    </xdr:from>
    <xdr:to>
      <xdr:col>30</xdr:col>
      <xdr:colOff>538115</xdr:colOff>
      <xdr:row>27</xdr:row>
      <xdr:rowOff>54429</xdr:rowOff>
    </xdr:to>
    <xdr:sp macro="" textlink="">
      <xdr:nvSpPr>
        <xdr:cNvPr id="25" name="TextBox 24">
          <a:extLst>
            <a:ext uri="{FF2B5EF4-FFF2-40B4-BE49-F238E27FC236}">
              <a16:creationId xmlns:a16="http://schemas.microsoft.com/office/drawing/2014/main" id="{5AF0FB96-9A6B-413C-A3E7-6386FD006372}"/>
            </a:ext>
          </a:extLst>
        </xdr:cNvPr>
        <xdr:cNvSpPr txBox="1"/>
      </xdr:nvSpPr>
      <xdr:spPr>
        <a:xfrm>
          <a:off x="17123229" y="4626429"/>
          <a:ext cx="1702886"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1">
                  <a:lumMod val="75000"/>
                  <a:lumOff val="25000"/>
                </a:schemeClr>
              </a:solidFill>
            </a:rPr>
            <a:t>Families</a:t>
          </a:r>
        </a:p>
      </xdr:txBody>
    </xdr:sp>
    <xdr:clientData/>
  </xdr:twoCellAnchor>
  <xdr:twoCellAnchor>
    <xdr:from>
      <xdr:col>31</xdr:col>
      <xdr:colOff>0</xdr:colOff>
      <xdr:row>22</xdr:row>
      <xdr:rowOff>21772</xdr:rowOff>
    </xdr:from>
    <xdr:to>
      <xdr:col>33</xdr:col>
      <xdr:colOff>483685</xdr:colOff>
      <xdr:row>25</xdr:row>
      <xdr:rowOff>54429</xdr:rowOff>
    </xdr:to>
    <xdr:sp macro="" textlink="">
      <xdr:nvSpPr>
        <xdr:cNvPr id="26" name="TextBox 25">
          <a:extLst>
            <a:ext uri="{FF2B5EF4-FFF2-40B4-BE49-F238E27FC236}">
              <a16:creationId xmlns:a16="http://schemas.microsoft.com/office/drawing/2014/main" id="{ADD3BB29-F210-4A0E-9DBE-689FFB0D6FE0}"/>
            </a:ext>
          </a:extLst>
        </xdr:cNvPr>
        <xdr:cNvSpPr txBox="1"/>
      </xdr:nvSpPr>
      <xdr:spPr>
        <a:xfrm>
          <a:off x="18897600" y="4093029"/>
          <a:ext cx="1702885" cy="587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65000"/>
                  <a:lumOff val="35000"/>
                </a:schemeClr>
              </a:solidFill>
            </a:rPr>
            <a:t>PRIMARY</a:t>
          </a:r>
          <a:r>
            <a:rPr lang="en-IN" sz="1400" b="1" baseline="0">
              <a:solidFill>
                <a:schemeClr val="tx1">
                  <a:lumMod val="65000"/>
                  <a:lumOff val="35000"/>
                </a:schemeClr>
              </a:solidFill>
            </a:rPr>
            <a:t> BUYING DRIVER</a:t>
          </a:r>
          <a:endParaRPr lang="en-IN" sz="1400" b="1">
            <a:solidFill>
              <a:schemeClr val="tx1">
                <a:lumMod val="65000"/>
                <a:lumOff val="35000"/>
              </a:schemeClr>
            </a:solidFill>
          </a:endParaRPr>
        </a:p>
      </xdr:txBody>
    </xdr:sp>
    <xdr:clientData/>
  </xdr:twoCellAnchor>
  <xdr:twoCellAnchor>
    <xdr:from>
      <xdr:col>31</xdr:col>
      <xdr:colOff>10885</xdr:colOff>
      <xdr:row>25</xdr:row>
      <xdr:rowOff>21772</xdr:rowOff>
    </xdr:from>
    <xdr:to>
      <xdr:col>33</xdr:col>
      <xdr:colOff>494571</xdr:colOff>
      <xdr:row>27</xdr:row>
      <xdr:rowOff>76201</xdr:rowOff>
    </xdr:to>
    <xdr:sp macro="" textlink="">
      <xdr:nvSpPr>
        <xdr:cNvPr id="28" name="TextBox 27">
          <a:extLst>
            <a:ext uri="{FF2B5EF4-FFF2-40B4-BE49-F238E27FC236}">
              <a16:creationId xmlns:a16="http://schemas.microsoft.com/office/drawing/2014/main" id="{0A3442E8-2AAD-4127-BD42-9C5B64C94D45}"/>
            </a:ext>
          </a:extLst>
        </xdr:cNvPr>
        <xdr:cNvSpPr txBox="1"/>
      </xdr:nvSpPr>
      <xdr:spPr>
        <a:xfrm>
          <a:off x="18908485" y="4648201"/>
          <a:ext cx="1702886"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a:solidFill>
              <a:schemeClr val="tx1">
                <a:lumMod val="75000"/>
                <a:lumOff val="25000"/>
              </a:schemeClr>
            </a:solidFill>
          </a:endParaRPr>
        </a:p>
      </xdr:txBody>
    </xdr:sp>
    <xdr:clientData/>
  </xdr:twoCellAnchor>
  <xdr:twoCellAnchor>
    <xdr:from>
      <xdr:col>31</xdr:col>
      <xdr:colOff>12769</xdr:colOff>
      <xdr:row>24</xdr:row>
      <xdr:rowOff>174173</xdr:rowOff>
    </xdr:from>
    <xdr:to>
      <xdr:col>33</xdr:col>
      <xdr:colOff>496455</xdr:colOff>
      <xdr:row>27</xdr:row>
      <xdr:rowOff>43544</xdr:rowOff>
    </xdr:to>
    <xdr:sp macro="" textlink="">
      <xdr:nvSpPr>
        <xdr:cNvPr id="29" name="TextBox 28">
          <a:extLst>
            <a:ext uri="{FF2B5EF4-FFF2-40B4-BE49-F238E27FC236}">
              <a16:creationId xmlns:a16="http://schemas.microsoft.com/office/drawing/2014/main" id="{FCA7FFF9-B209-4A18-9A7C-020164ED98A3}"/>
            </a:ext>
          </a:extLst>
        </xdr:cNvPr>
        <xdr:cNvSpPr txBox="1"/>
      </xdr:nvSpPr>
      <xdr:spPr>
        <a:xfrm>
          <a:off x="18910369" y="4615544"/>
          <a:ext cx="1702886"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1">
                  <a:lumMod val="75000"/>
                  <a:lumOff val="25000"/>
                </a:schemeClr>
              </a:solidFill>
            </a:rPr>
            <a:t>Taste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2.850688773149" createdVersion="7" refreshedVersion="7" minRefreshableVersion="3" recordCount="14" xr:uid="{750231BD-45EF-4DF5-8E27-5C85A8522EA1}">
  <cacheSource type="worksheet">
    <worksheetSource name="Table1"/>
  </cacheSource>
  <cacheFields count="21">
    <cacheField name="S.No." numFmtId="0">
      <sharedItems containsSemiMixedTypes="0" containsString="0" containsNumber="1" containsInteger="1" minValue="1" maxValue="14"/>
    </cacheField>
    <cacheField name="Shop Name" numFmtId="0">
      <sharedItems/>
    </cacheField>
    <cacheField name=" Location" numFmtId="0">
      <sharedItems count="1">
        <s v="New market "/>
      </sharedItems>
    </cacheField>
    <cacheField name="Store Type" numFmtId="0">
      <sharedItems count="3">
        <s v="Kirana Store"/>
        <s v="Wholesale"/>
        <s v="Other"/>
      </sharedItems>
    </cacheField>
    <cacheField name="Years in Business" numFmtId="0">
      <sharedItems count="2">
        <s v="1-3 years"/>
        <s v="More than 5 years"/>
      </sharedItems>
    </cacheField>
    <cacheField name="Top ₹5 Brand               " numFmtId="0">
      <sharedItems count="3">
        <s v="Parle-G ₹5 Pack"/>
        <s v="Britannia Tiger ₹5 Pack"/>
        <s v="Others - Mom's Magic"/>
      </sharedItems>
    </cacheField>
    <cacheField name="Top ₹10 Brand" numFmtId="0">
      <sharedItems count="6">
        <s v="Others - Patanjali"/>
        <s v="Others - Britannia Tiger"/>
        <s v="Good Day ₹10 pack"/>
        <s v="Others - Mom's Magic"/>
        <s v="Bourbon ₹10 pack"/>
        <s v="Parle-G ₹10 Pack"/>
      </sharedItems>
    </cacheField>
    <cacheField name="Price Demand" numFmtId="0">
      <sharedItems/>
    </cacheField>
    <cacheField name="Target Group (₹5)" numFmtId="0">
      <sharedItems/>
    </cacheField>
    <cacheField name="Target Group (₹10)" numFmtId="0">
      <sharedItems count="5">
        <s v="Families "/>
        <s v="Office Goers"/>
        <s v="Other - Daily Workers"/>
        <s v="College Students"/>
        <s v="Other - General Customers"/>
      </sharedItems>
    </cacheField>
    <cacheField name="Prefrence Shift" numFmtId="0">
      <sharedItems count="2">
        <s v="More customers prefer ₹10 biscuits now"/>
        <s v="No significant change "/>
      </sharedItems>
    </cacheField>
    <cacheField name="Daily Sales (₹5)" numFmtId="0">
      <sharedItems/>
    </cacheField>
    <cacheField name="Daily Sales (₹10)" numFmtId="0">
      <sharedItems count="3">
        <s v="More than 50 packs"/>
        <s v="30-50 packs"/>
        <s v="10-30 packs"/>
      </sharedItems>
    </cacheField>
    <cacheField name="High Stock Brands" numFmtId="0">
      <sharedItems/>
    </cacheField>
    <cacheField name="Supply Issues" numFmtId="0">
      <sharedItems/>
    </cacheField>
    <cacheField name="Seasonality_x000a_" numFmtId="0">
      <sharedItems/>
    </cacheField>
    <cacheField name="Buying Driver" numFmtId="0">
      <sharedItems count="3">
        <s v="Taste"/>
        <s v="Brand Loyalty"/>
        <s v="Price"/>
      </sharedItems>
    </cacheField>
    <cacheField name="Ad Influence " numFmtId="0">
      <sharedItems/>
    </cacheField>
    <cacheField name="Best Promotion" numFmtId="0">
      <sharedItems count="4">
        <s v="Discount offers"/>
        <s v="Buy 1 Get 1 Free"/>
        <s v="No signifacant impact from promotions"/>
        <s v="Free samples from brands"/>
      </sharedItems>
    </cacheField>
    <cacheField name="Inflation Impact" numFmtId="0">
      <sharedItems/>
    </cacheField>
    <cacheField name="Suggestions" numFmtId="0">
      <sharedItems/>
    </cacheField>
  </cacheFields>
  <extLst>
    <ext xmlns:x14="http://schemas.microsoft.com/office/spreadsheetml/2009/9/main" uri="{725AE2AE-9491-48be-B2B4-4EB974FC3084}">
      <x14:pivotCacheDefinition pivotCacheId="1659057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n v="1"/>
    <s v="Mukesh kirana &amp; general store"/>
    <x v="0"/>
    <x v="0"/>
    <x v="0"/>
    <x v="0"/>
    <x v="0"/>
    <s v="₹10 biscuits"/>
    <s v="General Customers"/>
    <x v="0"/>
    <x v="0"/>
    <s v="More than 50 packs"/>
    <x v="0"/>
    <s v="Parle-G"/>
    <s v="No"/>
    <s v="No noticeable seasonal trend"/>
    <x v="0"/>
    <s v="Yes "/>
    <x v="0"/>
    <s v="Customers have shifted to samller/larger packs"/>
    <s v="Advertising, Banners"/>
  </r>
  <r>
    <n v="2"/>
    <s v="Asha Dry Fruits "/>
    <x v="0"/>
    <x v="1"/>
    <x v="1"/>
    <x v="1"/>
    <x v="1"/>
    <s v="₹10 biscuits"/>
    <s v="General Customers"/>
    <x v="1"/>
    <x v="0"/>
    <s v="More than 50 packs"/>
    <x v="0"/>
    <s v="Britannia "/>
    <s v="No"/>
    <s v="No noticeable seasonal trend"/>
    <x v="0"/>
    <s v="No"/>
    <x v="0"/>
    <s v="Customers have shifted to samller/larger packs"/>
    <s v="Advertisement "/>
  </r>
  <r>
    <n v="3"/>
    <s v="Harish Oil"/>
    <x v="0"/>
    <x v="0"/>
    <x v="1"/>
    <x v="0"/>
    <x v="2"/>
    <s v="₹10 biscuits"/>
    <s v="Children"/>
    <x v="0"/>
    <x v="1"/>
    <s v="Less than 10 packs"/>
    <x v="1"/>
    <s v="Britannia "/>
    <s v="No"/>
    <s v="Higher demand during festivals"/>
    <x v="0"/>
    <s v="No"/>
    <x v="0"/>
    <s v="Customers have shifted to samller/larger packs"/>
    <s v="Nothing"/>
  </r>
  <r>
    <n v="4"/>
    <s v="Agrawal Namkeen "/>
    <x v="0"/>
    <x v="2"/>
    <x v="1"/>
    <x v="0"/>
    <x v="2"/>
    <s v="Both equally"/>
    <s v="General Customers"/>
    <x v="0"/>
    <x v="1"/>
    <s v="10-30 packs"/>
    <x v="2"/>
    <s v="Parle-G"/>
    <s v="Yes"/>
    <s v="Higher demand in winter"/>
    <x v="1"/>
    <s v="Yes "/>
    <x v="1"/>
    <s v="Customers have shifted to samller/larger packs"/>
    <s v="Nothing"/>
  </r>
  <r>
    <n v="5"/>
    <s v="RCG Tea Stall"/>
    <x v="0"/>
    <x v="2"/>
    <x v="1"/>
    <x v="0"/>
    <x v="2"/>
    <s v="Both equally"/>
    <s v="Daily Wage Workers"/>
    <x v="2"/>
    <x v="1"/>
    <s v="10-30 packs"/>
    <x v="2"/>
    <s v="Parle-G"/>
    <s v="No"/>
    <s v="No noticeable seasonal trend"/>
    <x v="2"/>
    <s v="Yes "/>
    <x v="0"/>
    <s v="No change in demand"/>
    <s v="Nothing"/>
  </r>
  <r>
    <n v="6"/>
    <s v="Sanchi Amul Parlour"/>
    <x v="0"/>
    <x v="2"/>
    <x v="1"/>
    <x v="2"/>
    <x v="3"/>
    <s v="Both equally"/>
    <s v="Daily Wage Workers"/>
    <x v="2"/>
    <x v="1"/>
    <s v="10-30 packs"/>
    <x v="2"/>
    <s v="ITC (Mom's Magic, Dark Fantasy)"/>
    <s v="No"/>
    <s v="Higher demand during festivals"/>
    <x v="0"/>
    <s v="Yes "/>
    <x v="2"/>
    <s v="Customers have shifted to samller/larger packs"/>
    <s v="Nothing"/>
  </r>
  <r>
    <n v="7"/>
    <s v="Jitesh Protiens"/>
    <x v="0"/>
    <x v="2"/>
    <x v="1"/>
    <x v="0"/>
    <x v="4"/>
    <s v="₹5 biscuits"/>
    <s v="General Customers"/>
    <x v="3"/>
    <x v="0"/>
    <s v="More than 50 packs"/>
    <x v="1"/>
    <s v="ITC (Mom's Magic, Dark Fantasy)"/>
    <s v="No"/>
    <s v="Higher demand during festivals"/>
    <x v="2"/>
    <s v="No"/>
    <x v="2"/>
    <s v="No change in demand"/>
    <s v="Nothing"/>
  </r>
  <r>
    <n v="8"/>
    <s v="Shri Bajrang Kirana"/>
    <x v="0"/>
    <x v="0"/>
    <x v="1"/>
    <x v="0"/>
    <x v="5"/>
    <s v="₹5 biscuits"/>
    <s v="Children"/>
    <x v="0"/>
    <x v="1"/>
    <s v="More than 50 packs"/>
    <x v="1"/>
    <s v="Parle-G"/>
    <s v="Yes - If there is a break than there is shortage "/>
    <s v="No noticeable seasonal trend"/>
    <x v="0"/>
    <s v="Yes "/>
    <x v="0"/>
    <s v="Customers have shifted to samller/larger packs"/>
    <s v="Nothing"/>
  </r>
  <r>
    <n v="9"/>
    <s v="New Sanskar Provision"/>
    <x v="0"/>
    <x v="0"/>
    <x v="1"/>
    <x v="0"/>
    <x v="5"/>
    <s v="₹5 biscuits"/>
    <s v="General Customers"/>
    <x v="4"/>
    <x v="0"/>
    <s v="More than 50 packs"/>
    <x v="0"/>
    <s v="Parle-G"/>
    <s v="No"/>
    <s v="Higher demand during festivals"/>
    <x v="0"/>
    <s v="Yes "/>
    <x v="3"/>
    <s v="No change in demand"/>
    <s v="Nothing"/>
  </r>
  <r>
    <n v="10"/>
    <s v="Satguru Oil &amp; Kirana Store"/>
    <x v="0"/>
    <x v="0"/>
    <x v="1"/>
    <x v="0"/>
    <x v="5"/>
    <s v="₹10 biscuits"/>
    <s v="General Customers"/>
    <x v="0"/>
    <x v="0"/>
    <s v="More than 50 packs"/>
    <x v="0"/>
    <s v="Parle-G"/>
    <s v="No"/>
    <s v="Higher demand during festivals"/>
    <x v="0"/>
    <s v="Yes "/>
    <x v="0"/>
    <s v="Yes, few customers buy biscuits now"/>
    <s v="Nothing"/>
  </r>
  <r>
    <n v="11"/>
    <s v="Anil Kirana"/>
    <x v="0"/>
    <x v="0"/>
    <x v="1"/>
    <x v="0"/>
    <x v="2"/>
    <s v="₹5 biscuits"/>
    <s v="Children"/>
    <x v="0"/>
    <x v="1"/>
    <s v="10-30 packs"/>
    <x v="2"/>
    <s v="Parle-G"/>
    <s v="Yes"/>
    <s v="No noticeable seasonal trend"/>
    <x v="1"/>
    <s v="No"/>
    <x v="2"/>
    <s v="No change in demand"/>
    <s v="Nothing"/>
  </r>
  <r>
    <n v="12"/>
    <s v="Rupali"/>
    <x v="0"/>
    <x v="0"/>
    <x v="1"/>
    <x v="0"/>
    <x v="5"/>
    <s v="₹10 biscuits"/>
    <s v="Children"/>
    <x v="0"/>
    <x v="0"/>
    <s v="10-30 packs"/>
    <x v="2"/>
    <s v="Britannia "/>
    <s v="No"/>
    <s v="No noticeable seasonal trend"/>
    <x v="0"/>
    <s v="No"/>
    <x v="0"/>
    <s v="No change in demand"/>
    <s v="Nothing"/>
  </r>
  <r>
    <n v="13"/>
    <s v="Rajasthan Kirana Store"/>
    <x v="0"/>
    <x v="0"/>
    <x v="1"/>
    <x v="0"/>
    <x v="2"/>
    <s v="₹10 biscuits"/>
    <s v="General Customers"/>
    <x v="4"/>
    <x v="1"/>
    <s v="10-30 packs"/>
    <x v="2"/>
    <s v="Britannia "/>
    <s v="No"/>
    <s v="No noticeable seasonal trend"/>
    <x v="1"/>
    <s v="No"/>
    <x v="1"/>
    <s v="No change in demand"/>
    <s v="Advertisement "/>
  </r>
  <r>
    <n v="14"/>
    <s v="Shiv Shakti Kirana Store"/>
    <x v="0"/>
    <x v="0"/>
    <x v="1"/>
    <x v="0"/>
    <x v="5"/>
    <s v="₹5 biscuits"/>
    <s v="General Customers"/>
    <x v="4"/>
    <x v="1"/>
    <s v="10-30 packs"/>
    <x v="2"/>
    <s v="Parle-G"/>
    <s v="No"/>
    <s v="No noticeable seasonal trend"/>
    <x v="1"/>
    <s v="No"/>
    <x v="1"/>
    <s v="No change in demand"/>
    <s v="Advertisement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1A43BC-8CCE-4483-B444-C6A7E4BB7A29}"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5 Biscuit Brand">
  <location ref="A7:B10" firstHeaderRow="1" firstDataRow="1" firstDataCol="1"/>
  <pivotFields count="21">
    <pivotField showAll="0"/>
    <pivotField dataField="1" showAll="0"/>
    <pivotField showAll="0"/>
    <pivotField showAll="0">
      <items count="4">
        <item x="0"/>
        <item x="2"/>
        <item x="1"/>
        <item t="default"/>
      </items>
    </pivotField>
    <pivotField showAll="0">
      <items count="3">
        <item x="0"/>
        <item x="1"/>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2"/>
    </i>
    <i>
      <x/>
    </i>
    <i>
      <x v="1"/>
    </i>
  </rowItems>
  <colItems count="1">
    <i/>
  </colItems>
  <dataFields count="1">
    <dataField name="Total Shops Selling" fld="1" subtotal="count" baseField="5" baseItem="2"/>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1"/>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CB5904-C29B-4C35-AF4A-715E5F2A8ABF}"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Marketing Offer type">
  <location ref="A37:B41" firstHeaderRow="1" firstDataRow="1" firstDataCol="1"/>
  <pivotFields count="21">
    <pivotField showAll="0"/>
    <pivotField dataField="1" showAll="0"/>
    <pivotField showAll="0"/>
    <pivotField showAll="0">
      <items count="4">
        <item x="0"/>
        <item x="2"/>
        <item x="1"/>
        <item t="default"/>
      </items>
    </pivotField>
    <pivotField showAll="0">
      <items count="3">
        <item x="0"/>
        <item x="1"/>
        <item t="default"/>
      </items>
    </pivotField>
    <pivotField showAll="0">
      <items count="4">
        <item x="1"/>
        <item x="2"/>
        <item x="0"/>
        <item t="default"/>
      </items>
    </pivotField>
    <pivotField showAll="0">
      <items count="7">
        <item x="4"/>
        <item x="2"/>
        <item x="1"/>
        <item x="3"/>
        <item x="0"/>
        <item x="5"/>
        <item t="default"/>
      </items>
    </pivotField>
    <pivotField showAll="0"/>
    <pivotField showAll="0"/>
    <pivotField showAll="0"/>
    <pivotField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s>
  <rowFields count="1">
    <field x="18"/>
  </rowFields>
  <rowItems count="4">
    <i>
      <x v="1"/>
    </i>
    <i>
      <x/>
    </i>
    <i>
      <x v="3"/>
    </i>
    <i>
      <x v="2"/>
    </i>
  </rowItems>
  <colItems count="1">
    <i/>
  </colItems>
  <dataFields count="1">
    <dataField name="Effectiveness Count"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A10512-A9B1-4A82-BFF7-54A51897090A}"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Pack Sold Daily (₹10)">
  <location ref="E16:F19" firstHeaderRow="1" firstDataRow="1" firstDataCol="1"/>
  <pivotFields count="21">
    <pivotField showAll="0"/>
    <pivotField dataField="1" showAll="0"/>
    <pivotField showAll="0">
      <items count="2">
        <item x="0"/>
        <item t="default"/>
      </items>
    </pivotField>
    <pivotField showAll="0">
      <items count="4">
        <item x="0"/>
        <item x="2"/>
        <item x="1"/>
        <item t="default"/>
      </items>
    </pivotField>
    <pivotField showAll="0">
      <items count="3">
        <item x="0"/>
        <item x="1"/>
        <item t="default"/>
      </items>
    </pivotField>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3">
    <i>
      <x/>
    </i>
    <i>
      <x v="2"/>
    </i>
    <i>
      <x v="1"/>
    </i>
  </rowItems>
  <colItems count="1">
    <i/>
  </colItems>
  <dataFields count="1">
    <dataField name="Store Count" fld="1" subtotal="count"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0"/>
          </reference>
        </references>
      </pivotArea>
    </chartFormat>
    <chartFormat chart="2" format="4">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DE42CB-FA2D-4F8F-B1F6-C9CC20A6611C}"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rowHeaderCaption="Primary Purchase Factor">
  <location ref="E7:F10" firstHeaderRow="1" firstDataRow="1" firstDataCol="1"/>
  <pivotFields count="21">
    <pivotField showAll="0"/>
    <pivotField dataField="1" showAll="0"/>
    <pivotField showAll="0"/>
    <pivotField showAll="0">
      <items count="4">
        <item x="0"/>
        <item x="2"/>
        <item x="1"/>
        <item t="default"/>
      </items>
    </pivotField>
    <pivotField showAll="0">
      <items count="3">
        <item x="0"/>
        <item x="1"/>
        <item t="default"/>
      </items>
    </pivotField>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6"/>
  </rowFields>
  <rowItems count="3">
    <i>
      <x v="2"/>
    </i>
    <i>
      <x/>
    </i>
    <i>
      <x v="1"/>
    </i>
  </rowItems>
  <colItems count="1">
    <i/>
  </colItems>
  <dataFields count="1">
    <dataField name="Total Votes" fld="1"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6" count="1" selected="0">
            <x v="2"/>
          </reference>
        </references>
      </pivotArea>
    </chartFormat>
    <chartFormat chart="2" format="7">
      <pivotArea type="data" outline="0" fieldPosition="0">
        <references count="2">
          <reference field="4294967294" count="1" selected="0">
            <x v="0"/>
          </reference>
          <reference field="16" count="1" selected="0">
            <x v="0"/>
          </reference>
        </references>
      </pivotArea>
    </chartFormat>
    <chartFormat chart="2"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686812-1A04-44A6-9B68-CBFE51AA25E3}"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Customer Shift Type">
  <location ref="A28:B30" firstHeaderRow="1" firstDataRow="1" firstDataCol="1"/>
  <pivotFields count="21">
    <pivotField showAll="0"/>
    <pivotField dataField="1" showAll="0"/>
    <pivotField showAll="0"/>
    <pivotField showAll="0">
      <items count="4">
        <item x="0"/>
        <item x="2"/>
        <item x="1"/>
        <item t="default"/>
      </items>
    </pivotField>
    <pivotField showAll="0">
      <items count="3">
        <item x="0"/>
        <item x="1"/>
        <item t="default"/>
      </items>
    </pivotField>
    <pivotField showAll="0">
      <items count="4">
        <item x="1"/>
        <item x="2"/>
        <item x="0"/>
        <item t="default"/>
      </items>
    </pivotField>
    <pivotField showAll="0">
      <items count="7">
        <item x="4"/>
        <item x="2"/>
        <item x="1"/>
        <item x="3"/>
        <item x="0"/>
        <item x="5"/>
        <item t="default"/>
      </items>
    </pivotField>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10"/>
  </rowFields>
  <rowItems count="2">
    <i>
      <x v="1"/>
    </i>
    <i>
      <x/>
    </i>
  </rowItems>
  <colItems count="1">
    <i/>
  </colItems>
  <dataFields count="1">
    <dataField name="No. of Responses" fld="1" subtotal="count" baseField="10" baseItem="1"/>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1"/>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1DDAAF-BE75-4556-86BF-AA1DC707A497}" name="PivotTable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10 Biscuit Brand">
  <location ref="A14:B20" firstHeaderRow="1" firstDataRow="1" firstDataCol="1"/>
  <pivotFields count="21">
    <pivotField showAll="0"/>
    <pivotField dataField="1" showAll="0"/>
    <pivotField showAll="0"/>
    <pivotField showAll="0">
      <items count="4">
        <item x="0"/>
        <item x="2"/>
        <item x="1"/>
        <item t="default"/>
      </items>
    </pivotField>
    <pivotField showAll="0">
      <items count="3">
        <item x="0"/>
        <item x="1"/>
        <item t="default"/>
      </items>
    </pivotField>
    <pivotField showAll="0">
      <items count="4">
        <item x="1"/>
        <item x="2"/>
        <item x="0"/>
        <item t="default"/>
      </items>
    </pivotField>
    <pivotField axis="axisRow" showAll="0" sortType="descending">
      <items count="7">
        <item x="4"/>
        <item x="2"/>
        <item x="1"/>
        <item x="3"/>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v="5"/>
    </i>
    <i>
      <x v="1"/>
    </i>
    <i>
      <x v="3"/>
    </i>
    <i>
      <x v="4"/>
    </i>
    <i>
      <x/>
    </i>
    <i>
      <x v="2"/>
    </i>
  </rowItems>
  <colItems count="1">
    <i/>
  </colItems>
  <dataFields count="1">
    <dataField name="Total Shops Selling" fld="1" subtotal="count"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BE9610-7839-4F0B-AAD3-5992C30E6A58}"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Target Audience ">
  <location ref="E26:F31" firstHeaderRow="1" firstDataRow="1" firstDataCol="1"/>
  <pivotFields count="21">
    <pivotField showAll="0"/>
    <pivotField dataField="1" showAll="0"/>
    <pivotField showAll="0"/>
    <pivotField showAll="0">
      <items count="4">
        <item x="0"/>
        <item x="2"/>
        <item x="1"/>
        <item t="default"/>
      </items>
    </pivotField>
    <pivotField showAll="0">
      <items count="3">
        <item x="0"/>
        <item x="1"/>
        <item t="default"/>
      </items>
    </pivotField>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6">
        <item x="3"/>
        <item x="0"/>
        <item x="1"/>
        <item x="2"/>
        <item x="4"/>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9"/>
  </rowFields>
  <rowItems count="5">
    <i>
      <x v="1"/>
    </i>
    <i>
      <x v="4"/>
    </i>
    <i>
      <x v="3"/>
    </i>
    <i>
      <x/>
    </i>
    <i>
      <x v="2"/>
    </i>
  </rowItems>
  <colItems count="1">
    <i/>
  </colItems>
  <dataFields count="1">
    <dataField name="Store Response "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AD0198CA-87F3-4CA1-BCD1-8B9A45E324EE}" sourceName="Store Type">
  <pivotTables>
    <pivotTable tabId="4" name="PivotTable5"/>
    <pivotTable tabId="4" name="PivotTable1"/>
    <pivotTable tabId="4" name="PivotTable2"/>
    <pivotTable tabId="4" name="PivotTable3"/>
    <pivotTable tabId="4" name="PivotTable4"/>
    <pivotTable tabId="4" name="PivotTable6"/>
    <pivotTable tabId="4" name="PivotTable7"/>
  </pivotTables>
  <data>
    <tabular pivotCacheId="165905743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in_Business" xr10:uid="{27667A79-C436-4D87-B396-04941AC6FA7A}" sourceName="Years in Business">
  <pivotTables>
    <pivotTable tabId="4" name="PivotTable5"/>
    <pivotTable tabId="4" name="PivotTable1"/>
    <pivotTable tabId="4" name="PivotTable2"/>
    <pivotTable tabId="4" name="PivotTable3"/>
    <pivotTable tabId="4" name="PivotTable4"/>
    <pivotTable tabId="4" name="PivotTable6"/>
    <pivotTable tabId="4" name="PivotTable7"/>
  </pivotTables>
  <data>
    <tabular pivotCacheId="165905743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Type" xr10:uid="{EDE15AA2-4FBE-470F-BC09-7AE2F4F07E6C}" cache="Slicer_Store_Type" caption="Store Type" columnCount="2" showCaption="0" style="SlicerStyleDark1" rowHeight="234950"/>
  <slicer name="Years in Business" xr10:uid="{DF1CA7C0-B777-422C-B953-4C851BF63A06}" cache="Slicer_Years_in_Business" caption="Years in Business" showCaption="0"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E63E21-C4F4-4F16-A625-94E0AEDC1FC8}" name="Table1" displayName="Table1" ref="A1:U15" totalsRowShown="0" headerRowDxfId="22" dataDxfId="21">
  <autoFilter ref="A1:U15" xr:uid="{CAE63E21-C4F4-4F16-A625-94E0AEDC1FC8}"/>
  <tableColumns count="21">
    <tableColumn id="1" xr3:uid="{4A057763-03CE-4367-B8C4-6E4DC86B7E67}" name="S.No." dataDxfId="20"/>
    <tableColumn id="2" xr3:uid="{8DFF8E31-C5A1-4645-B362-E42236BA8BFF}" name="Shop Name" dataDxfId="19"/>
    <tableColumn id="3" xr3:uid="{BEC81875-6364-44E2-BAC9-E6B7BF153BEB}" name=" Location" dataDxfId="18"/>
    <tableColumn id="4" xr3:uid="{FF925E58-443B-4DA8-8572-6FDBF4CDE4A1}" name="Store Type" dataDxfId="17"/>
    <tableColumn id="5" xr3:uid="{1A7FB7B3-86DB-4473-AB98-05E0A941E601}" name="Years in Business" dataDxfId="16"/>
    <tableColumn id="6" xr3:uid="{9BBFA64F-CEDE-4FD6-A4F7-62C6122C5A4F}" name="Top ₹5 Brand               " dataDxfId="15"/>
    <tableColumn id="7" xr3:uid="{3902FBD7-8C15-43C7-A5CA-F93D0F5DC973}" name="Top ₹10 Brand" dataDxfId="14"/>
    <tableColumn id="8" xr3:uid="{130D23A8-EC19-43F5-B885-CED96BF301B8}" name="Price Demand" dataDxfId="13"/>
    <tableColumn id="9" xr3:uid="{439CC390-74F7-4732-89DC-61864E3AA8E4}" name="Target Group (₹5)" dataDxfId="12"/>
    <tableColumn id="10" xr3:uid="{7EBD1EF2-4D46-4747-A474-C3E783B2EAC4}" name="Target Group (₹10)" dataDxfId="11"/>
    <tableColumn id="11" xr3:uid="{CD1A5E89-F354-44E7-95BD-F6AF3555CADB}" name="Prefrence Shift" dataDxfId="10"/>
    <tableColumn id="12" xr3:uid="{9C1D908A-58E3-43CF-9129-3AF7BD441450}" name="Daily Sales (₹5)" dataDxfId="9"/>
    <tableColumn id="13" xr3:uid="{C55E1689-CA69-49E3-A190-A6566ACDD6E0}" name="Daily Sales (₹10)" dataDxfId="8"/>
    <tableColumn id="14" xr3:uid="{03678897-6B63-48CE-B798-8C87E4B74796}" name="High Stock Brands" dataDxfId="7"/>
    <tableColumn id="15" xr3:uid="{F9D69AF8-DF5D-40F1-9CBD-C23BF1DC9144}" name="Supply Issues" dataDxfId="6"/>
    <tableColumn id="16" xr3:uid="{915416F1-B15C-4A59-979F-BDA4517D0F6F}" name="Seasonality_x000a_" dataDxfId="5"/>
    <tableColumn id="17" xr3:uid="{2DDDF997-C9A1-49E2-9721-9517CA2C8BC5}" name="Buying Driver" dataDxfId="4"/>
    <tableColumn id="18" xr3:uid="{789D52B5-6A30-483C-8261-441AE732B8FF}" name="Ad Influence " dataDxfId="3"/>
    <tableColumn id="19" xr3:uid="{7A45DEF5-5018-41B7-A69D-29B1F092D604}" name="Best Promotion" dataDxfId="2"/>
    <tableColumn id="20" xr3:uid="{04B14C6B-F8DB-4E94-827D-298BD711D779}" name="Inflation Impact" dataDxfId="1"/>
    <tableColumn id="21" xr3:uid="{338EDFCC-9F6F-4DA1-84F9-198C9AF60473}" name="Suggestions"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BE31-CBFF-4B5E-83D3-31A28807BCA2}">
  <dimension ref="A1:U17"/>
  <sheetViews>
    <sheetView zoomScaleNormal="100" workbookViewId="0">
      <selection activeCell="B4" sqref="B4"/>
    </sheetView>
  </sheetViews>
  <sheetFormatPr defaultRowHeight="14.4" x14ac:dyDescent="0.3"/>
  <cols>
    <col min="1" max="1" width="6.5546875" bestFit="1" customWidth="1"/>
    <col min="2" max="2" width="14.6640625" bestFit="1" customWidth="1"/>
    <col min="3" max="3" width="15.33203125" bestFit="1" customWidth="1"/>
    <col min="4" max="4" width="15.77734375" bestFit="1" customWidth="1"/>
    <col min="5" max="5" width="24.33203125" bestFit="1" customWidth="1"/>
    <col min="6" max="6" width="29.5546875" bestFit="1" customWidth="1"/>
    <col min="7" max="7" width="30.88671875" bestFit="1" customWidth="1"/>
    <col min="8" max="8" width="27.77734375" bestFit="1" customWidth="1"/>
    <col min="9" max="9" width="22.5546875" bestFit="1" customWidth="1"/>
    <col min="10" max="10" width="18.88671875" bestFit="1" customWidth="1"/>
    <col min="11" max="11" width="38.6640625" bestFit="1" customWidth="1"/>
    <col min="12" max="12" width="23.6640625" bestFit="1" customWidth="1"/>
    <col min="13" max="13" width="21.6640625" bestFit="1" customWidth="1"/>
    <col min="14" max="14" width="36.109375" bestFit="1" customWidth="1"/>
    <col min="15" max="15" width="16.6640625" bestFit="1" customWidth="1"/>
    <col min="16" max="16" width="32.77734375" bestFit="1" customWidth="1"/>
    <col min="17" max="17" width="18.88671875" bestFit="1" customWidth="1"/>
    <col min="18" max="18" width="21.6640625" bestFit="1" customWidth="1"/>
    <col min="19" max="19" width="38.21875" bestFit="1" customWidth="1"/>
    <col min="20" max="20" width="44.21875" bestFit="1" customWidth="1"/>
    <col min="21" max="21" width="19.88671875" bestFit="1" customWidth="1"/>
  </cols>
  <sheetData>
    <row r="1" spans="1:21" ht="18" x14ac:dyDescent="0.35">
      <c r="A1" s="14" t="s">
        <v>72</v>
      </c>
      <c r="B1" s="15"/>
      <c r="C1" s="15"/>
      <c r="D1" s="15"/>
      <c r="E1" s="15"/>
      <c r="F1" s="15"/>
      <c r="G1" s="15"/>
      <c r="H1" s="15"/>
      <c r="I1" s="15"/>
      <c r="J1" s="15"/>
      <c r="K1" s="15"/>
      <c r="L1" s="15"/>
      <c r="M1" s="15"/>
      <c r="N1" s="15"/>
      <c r="O1" s="15"/>
      <c r="P1" s="15"/>
      <c r="Q1" s="15"/>
      <c r="R1" s="15"/>
      <c r="S1" s="15"/>
      <c r="T1" s="15"/>
      <c r="U1" s="15"/>
    </row>
    <row r="2" spans="1:21" ht="129.6" x14ac:dyDescent="0.3">
      <c r="A2" s="6" t="s">
        <v>71</v>
      </c>
      <c r="B2" s="2" t="s">
        <v>0</v>
      </c>
      <c r="C2" s="2" t="s">
        <v>1</v>
      </c>
      <c r="D2" s="1" t="s">
        <v>73</v>
      </c>
      <c r="E2" s="2" t="s">
        <v>74</v>
      </c>
      <c r="F2" s="2" t="s">
        <v>75</v>
      </c>
      <c r="G2" s="2" t="s">
        <v>76</v>
      </c>
      <c r="H2" s="2" t="s">
        <v>89</v>
      </c>
      <c r="I2" s="2" t="s">
        <v>77</v>
      </c>
      <c r="J2" s="2" t="s">
        <v>78</v>
      </c>
      <c r="K2" s="2" t="s">
        <v>79</v>
      </c>
      <c r="L2" s="2" t="s">
        <v>80</v>
      </c>
      <c r="M2" s="2" t="s">
        <v>81</v>
      </c>
      <c r="N2" s="2" t="s">
        <v>82</v>
      </c>
      <c r="O2" s="2" t="s">
        <v>83</v>
      </c>
      <c r="P2" s="2" t="s">
        <v>84</v>
      </c>
      <c r="Q2" s="2" t="s">
        <v>85</v>
      </c>
      <c r="R2" s="2" t="s">
        <v>86</v>
      </c>
      <c r="S2" s="2" t="s">
        <v>87</v>
      </c>
      <c r="T2" s="2" t="s">
        <v>88</v>
      </c>
      <c r="U2" s="2" t="s">
        <v>2</v>
      </c>
    </row>
    <row r="3" spans="1:21" ht="28.8" x14ac:dyDescent="0.3">
      <c r="A3" s="3">
        <v>1</v>
      </c>
      <c r="B3" s="5" t="s">
        <v>3</v>
      </c>
      <c r="C3" s="3" t="s">
        <v>4</v>
      </c>
      <c r="D3" s="3" t="s">
        <v>5</v>
      </c>
      <c r="E3" s="3" t="s">
        <v>6</v>
      </c>
      <c r="F3" s="3" t="s">
        <v>25</v>
      </c>
      <c r="G3" s="5" t="s">
        <v>7</v>
      </c>
      <c r="H3" s="3" t="s">
        <v>8</v>
      </c>
      <c r="I3" s="3" t="s">
        <v>9</v>
      </c>
      <c r="J3" s="3" t="s">
        <v>10</v>
      </c>
      <c r="K3" s="3" t="s">
        <v>11</v>
      </c>
      <c r="L3" s="3" t="s">
        <v>12</v>
      </c>
      <c r="M3" s="3" t="s">
        <v>12</v>
      </c>
      <c r="N3" s="3" t="s">
        <v>13</v>
      </c>
      <c r="O3" s="3" t="s">
        <v>14</v>
      </c>
      <c r="P3" s="3" t="s">
        <v>15</v>
      </c>
      <c r="Q3" s="3" t="s">
        <v>16</v>
      </c>
      <c r="R3" s="3" t="s">
        <v>17</v>
      </c>
      <c r="S3" s="3" t="s">
        <v>18</v>
      </c>
      <c r="T3" s="3" t="s">
        <v>19</v>
      </c>
      <c r="U3" s="3" t="s">
        <v>20</v>
      </c>
    </row>
    <row r="4" spans="1:21" x14ac:dyDescent="0.3">
      <c r="A4" s="3">
        <v>2</v>
      </c>
      <c r="B4" s="3" t="s">
        <v>21</v>
      </c>
      <c r="C4" s="4" t="s">
        <v>4</v>
      </c>
      <c r="D4" s="3" t="s">
        <v>22</v>
      </c>
      <c r="E4" s="3" t="s">
        <v>23</v>
      </c>
      <c r="F4" s="3" t="s">
        <v>24</v>
      </c>
      <c r="G4" s="3" t="s">
        <v>26</v>
      </c>
      <c r="H4" s="3" t="s">
        <v>8</v>
      </c>
      <c r="I4" s="3" t="s">
        <v>9</v>
      </c>
      <c r="J4" s="3" t="s">
        <v>27</v>
      </c>
      <c r="K4" s="3" t="s">
        <v>11</v>
      </c>
      <c r="L4" s="3" t="s">
        <v>12</v>
      </c>
      <c r="M4" s="3" t="s">
        <v>12</v>
      </c>
      <c r="N4" s="3" t="s">
        <v>28</v>
      </c>
      <c r="O4" s="3" t="s">
        <v>14</v>
      </c>
      <c r="P4" s="3" t="s">
        <v>15</v>
      </c>
      <c r="Q4" s="3" t="s">
        <v>16</v>
      </c>
      <c r="R4" s="3" t="s">
        <v>14</v>
      </c>
      <c r="S4" s="3" t="s">
        <v>18</v>
      </c>
      <c r="T4" s="3" t="s">
        <v>19</v>
      </c>
      <c r="U4" s="3" t="s">
        <v>29</v>
      </c>
    </row>
    <row r="5" spans="1:21" x14ac:dyDescent="0.3">
      <c r="A5" s="3">
        <v>3</v>
      </c>
      <c r="B5" s="3" t="s">
        <v>30</v>
      </c>
      <c r="C5" s="4" t="s">
        <v>4</v>
      </c>
      <c r="D5" s="3" t="s">
        <v>5</v>
      </c>
      <c r="E5" s="3" t="s">
        <v>23</v>
      </c>
      <c r="F5" s="3" t="s">
        <v>25</v>
      </c>
      <c r="G5" s="3" t="s">
        <v>31</v>
      </c>
      <c r="H5" s="3" t="s">
        <v>8</v>
      </c>
      <c r="I5" s="3" t="s">
        <v>32</v>
      </c>
      <c r="J5" s="3" t="s">
        <v>10</v>
      </c>
      <c r="K5" s="3" t="s">
        <v>33</v>
      </c>
      <c r="L5" s="3" t="s">
        <v>34</v>
      </c>
      <c r="M5" s="3" t="s">
        <v>35</v>
      </c>
      <c r="N5" s="3" t="s">
        <v>28</v>
      </c>
      <c r="O5" s="3" t="s">
        <v>14</v>
      </c>
      <c r="P5" s="3" t="s">
        <v>36</v>
      </c>
      <c r="Q5" s="3" t="s">
        <v>16</v>
      </c>
      <c r="R5" s="3" t="s">
        <v>14</v>
      </c>
      <c r="S5" s="3" t="s">
        <v>18</v>
      </c>
      <c r="T5" s="3" t="s">
        <v>19</v>
      </c>
      <c r="U5" s="3" t="s">
        <v>37</v>
      </c>
    </row>
    <row r="6" spans="1:21" ht="28.8" x14ac:dyDescent="0.3">
      <c r="A6" s="3">
        <v>4</v>
      </c>
      <c r="B6" s="5" t="s">
        <v>38</v>
      </c>
      <c r="C6" s="3" t="s">
        <v>4</v>
      </c>
      <c r="D6" s="3" t="s">
        <v>39</v>
      </c>
      <c r="E6" s="3" t="s">
        <v>23</v>
      </c>
      <c r="F6" s="3" t="s">
        <v>25</v>
      </c>
      <c r="G6" s="3" t="s">
        <v>31</v>
      </c>
      <c r="H6" s="3" t="s">
        <v>40</v>
      </c>
      <c r="I6" s="3" t="s">
        <v>9</v>
      </c>
      <c r="J6" s="3" t="s">
        <v>10</v>
      </c>
      <c r="K6" s="3" t="s">
        <v>33</v>
      </c>
      <c r="L6" s="3" t="s">
        <v>41</v>
      </c>
      <c r="M6" s="3" t="s">
        <v>41</v>
      </c>
      <c r="N6" s="3" t="s">
        <v>13</v>
      </c>
      <c r="O6" s="3" t="s">
        <v>42</v>
      </c>
      <c r="P6" s="3" t="s">
        <v>43</v>
      </c>
      <c r="Q6" s="3" t="s">
        <v>44</v>
      </c>
      <c r="R6" s="3" t="s">
        <v>17</v>
      </c>
      <c r="S6" s="3" t="s">
        <v>45</v>
      </c>
      <c r="T6" s="3" t="s">
        <v>19</v>
      </c>
      <c r="U6" s="3" t="s">
        <v>37</v>
      </c>
    </row>
    <row r="7" spans="1:21" x14ac:dyDescent="0.3">
      <c r="A7" s="3">
        <v>5</v>
      </c>
      <c r="B7" s="3" t="s">
        <v>46</v>
      </c>
      <c r="C7" s="4" t="s">
        <v>4</v>
      </c>
      <c r="D7" s="3" t="s">
        <v>39</v>
      </c>
      <c r="E7" s="3" t="s">
        <v>23</v>
      </c>
      <c r="F7" s="3" t="s">
        <v>25</v>
      </c>
      <c r="G7" s="3" t="s">
        <v>31</v>
      </c>
      <c r="H7" s="3" t="s">
        <v>40</v>
      </c>
      <c r="I7" s="3" t="s">
        <v>47</v>
      </c>
      <c r="J7" s="5" t="s">
        <v>48</v>
      </c>
      <c r="K7" s="3" t="s">
        <v>33</v>
      </c>
      <c r="L7" s="3" t="s">
        <v>41</v>
      </c>
      <c r="M7" s="3" t="s">
        <v>41</v>
      </c>
      <c r="N7" s="3" t="s">
        <v>13</v>
      </c>
      <c r="O7" s="3" t="s">
        <v>14</v>
      </c>
      <c r="P7" s="3" t="s">
        <v>15</v>
      </c>
      <c r="Q7" s="3" t="s">
        <v>49</v>
      </c>
      <c r="R7" s="3" t="s">
        <v>17</v>
      </c>
      <c r="S7" s="3" t="s">
        <v>18</v>
      </c>
      <c r="T7" s="3" t="s">
        <v>50</v>
      </c>
      <c r="U7" s="3" t="s">
        <v>37</v>
      </c>
    </row>
    <row r="8" spans="1:21" ht="28.8" x14ac:dyDescent="0.3">
      <c r="A8" s="3">
        <v>6</v>
      </c>
      <c r="B8" s="5" t="s">
        <v>51</v>
      </c>
      <c r="C8" s="4" t="s">
        <v>4</v>
      </c>
      <c r="D8" s="3" t="s">
        <v>39</v>
      </c>
      <c r="E8" s="3" t="s">
        <v>23</v>
      </c>
      <c r="F8" s="3" t="s">
        <v>52</v>
      </c>
      <c r="G8" s="3" t="s">
        <v>52</v>
      </c>
      <c r="H8" s="3" t="s">
        <v>40</v>
      </c>
      <c r="I8" s="3" t="s">
        <v>47</v>
      </c>
      <c r="J8" s="5" t="s">
        <v>48</v>
      </c>
      <c r="K8" s="3" t="s">
        <v>33</v>
      </c>
      <c r="L8" s="3" t="s">
        <v>41</v>
      </c>
      <c r="M8" s="3" t="s">
        <v>41</v>
      </c>
      <c r="N8" s="5" t="s">
        <v>53</v>
      </c>
      <c r="O8" s="3" t="s">
        <v>14</v>
      </c>
      <c r="P8" s="3" t="s">
        <v>36</v>
      </c>
      <c r="Q8" s="3" t="s">
        <v>16</v>
      </c>
      <c r="R8" s="3" t="s">
        <v>17</v>
      </c>
      <c r="S8" s="3" t="s">
        <v>54</v>
      </c>
      <c r="T8" s="3" t="s">
        <v>19</v>
      </c>
      <c r="U8" s="3" t="s">
        <v>37</v>
      </c>
    </row>
    <row r="9" spans="1:21" x14ac:dyDescent="0.3">
      <c r="A9" s="3">
        <v>7</v>
      </c>
      <c r="B9" s="3" t="s">
        <v>55</v>
      </c>
      <c r="C9" s="4" t="s">
        <v>4</v>
      </c>
      <c r="D9" s="3" t="s">
        <v>39</v>
      </c>
      <c r="E9" s="3" t="s">
        <v>23</v>
      </c>
      <c r="F9" s="3" t="s">
        <v>25</v>
      </c>
      <c r="G9" s="3" t="s">
        <v>56</v>
      </c>
      <c r="H9" s="3" t="s">
        <v>57</v>
      </c>
      <c r="I9" s="3" t="s">
        <v>9</v>
      </c>
      <c r="J9" s="3" t="s">
        <v>58</v>
      </c>
      <c r="K9" s="3" t="s">
        <v>11</v>
      </c>
      <c r="L9" s="3" t="s">
        <v>12</v>
      </c>
      <c r="M9" s="3" t="s">
        <v>35</v>
      </c>
      <c r="N9" s="5" t="s">
        <v>53</v>
      </c>
      <c r="O9" s="3" t="s">
        <v>14</v>
      </c>
      <c r="P9" s="3" t="s">
        <v>36</v>
      </c>
      <c r="Q9" s="3" t="s">
        <v>49</v>
      </c>
      <c r="R9" s="3" t="s">
        <v>14</v>
      </c>
      <c r="S9" s="3" t="s">
        <v>54</v>
      </c>
      <c r="T9" s="3" t="s">
        <v>50</v>
      </c>
      <c r="U9" s="3" t="s">
        <v>37</v>
      </c>
    </row>
    <row r="10" spans="1:21" ht="43.2" x14ac:dyDescent="0.3">
      <c r="A10" s="3">
        <v>8</v>
      </c>
      <c r="B10" s="5" t="s">
        <v>59</v>
      </c>
      <c r="C10" s="3" t="s">
        <v>4</v>
      </c>
      <c r="D10" s="3" t="s">
        <v>5</v>
      </c>
      <c r="E10" s="3" t="s">
        <v>23</v>
      </c>
      <c r="F10" s="3" t="s">
        <v>25</v>
      </c>
      <c r="G10" s="3" t="s">
        <v>62</v>
      </c>
      <c r="H10" s="3" t="s">
        <v>57</v>
      </c>
      <c r="I10" s="3" t="s">
        <v>32</v>
      </c>
      <c r="J10" s="3" t="s">
        <v>10</v>
      </c>
      <c r="K10" s="3" t="s">
        <v>33</v>
      </c>
      <c r="L10" s="3" t="s">
        <v>12</v>
      </c>
      <c r="M10" s="3" t="s">
        <v>35</v>
      </c>
      <c r="N10" s="3" t="s">
        <v>13</v>
      </c>
      <c r="O10" s="5" t="s">
        <v>60</v>
      </c>
      <c r="P10" s="3" t="s">
        <v>15</v>
      </c>
      <c r="Q10" s="3" t="s">
        <v>16</v>
      </c>
      <c r="R10" s="3" t="s">
        <v>17</v>
      </c>
      <c r="S10" s="3" t="s">
        <v>18</v>
      </c>
      <c r="T10" s="3" t="s">
        <v>19</v>
      </c>
      <c r="U10" s="3" t="s">
        <v>37</v>
      </c>
    </row>
    <row r="11" spans="1:21" ht="28.8" x14ac:dyDescent="0.3">
      <c r="A11" s="3">
        <v>9</v>
      </c>
      <c r="B11" s="5" t="s">
        <v>61</v>
      </c>
      <c r="C11" s="3" t="s">
        <v>4</v>
      </c>
      <c r="D11" s="3" t="s">
        <v>5</v>
      </c>
      <c r="E11" s="3" t="s">
        <v>23</v>
      </c>
      <c r="F11" s="3" t="s">
        <v>25</v>
      </c>
      <c r="G11" s="3" t="s">
        <v>62</v>
      </c>
      <c r="H11" s="3" t="s">
        <v>57</v>
      </c>
      <c r="I11" s="3" t="s">
        <v>9</v>
      </c>
      <c r="J11" s="5" t="s">
        <v>63</v>
      </c>
      <c r="K11" s="3" t="s">
        <v>11</v>
      </c>
      <c r="L11" s="3" t="s">
        <v>12</v>
      </c>
      <c r="M11" s="3" t="s">
        <v>12</v>
      </c>
      <c r="N11" s="3" t="s">
        <v>13</v>
      </c>
      <c r="O11" s="3" t="s">
        <v>14</v>
      </c>
      <c r="P11" s="3" t="s">
        <v>36</v>
      </c>
      <c r="Q11" s="3" t="s">
        <v>16</v>
      </c>
      <c r="R11" s="3" t="s">
        <v>17</v>
      </c>
      <c r="S11" s="3" t="s">
        <v>64</v>
      </c>
      <c r="T11" s="3" t="s">
        <v>50</v>
      </c>
      <c r="U11" s="3" t="s">
        <v>37</v>
      </c>
    </row>
    <row r="12" spans="1:21" ht="28.8" x14ac:dyDescent="0.3">
      <c r="A12" s="3">
        <v>10</v>
      </c>
      <c r="B12" s="5" t="s">
        <v>65</v>
      </c>
      <c r="C12" s="3" t="s">
        <v>4</v>
      </c>
      <c r="D12" s="3" t="s">
        <v>5</v>
      </c>
      <c r="E12" s="3" t="s">
        <v>23</v>
      </c>
      <c r="F12" s="3" t="s">
        <v>25</v>
      </c>
      <c r="G12" s="3" t="s">
        <v>62</v>
      </c>
      <c r="H12" s="3" t="s">
        <v>8</v>
      </c>
      <c r="I12" s="3" t="s">
        <v>9</v>
      </c>
      <c r="J12" s="5" t="s">
        <v>10</v>
      </c>
      <c r="K12" s="3" t="s">
        <v>11</v>
      </c>
      <c r="L12" s="3" t="s">
        <v>12</v>
      </c>
      <c r="M12" s="3" t="s">
        <v>12</v>
      </c>
      <c r="N12" s="3" t="s">
        <v>13</v>
      </c>
      <c r="O12" s="3" t="s">
        <v>14</v>
      </c>
      <c r="P12" s="3" t="s">
        <v>36</v>
      </c>
      <c r="Q12" s="3" t="s">
        <v>16</v>
      </c>
      <c r="R12" s="3" t="s">
        <v>17</v>
      </c>
      <c r="S12" s="3" t="s">
        <v>18</v>
      </c>
      <c r="T12" s="3" t="s">
        <v>66</v>
      </c>
      <c r="U12" s="3" t="s">
        <v>37</v>
      </c>
    </row>
    <row r="13" spans="1:21" x14ac:dyDescent="0.3">
      <c r="A13" s="3">
        <v>11</v>
      </c>
      <c r="B13" s="3" t="s">
        <v>67</v>
      </c>
      <c r="C13" s="4" t="s">
        <v>4</v>
      </c>
      <c r="D13" s="3" t="s">
        <v>5</v>
      </c>
      <c r="E13" s="3" t="s">
        <v>23</v>
      </c>
      <c r="F13" s="3" t="s">
        <v>25</v>
      </c>
      <c r="G13" s="3" t="s">
        <v>31</v>
      </c>
      <c r="H13" s="3" t="s">
        <v>57</v>
      </c>
      <c r="I13" s="3" t="s">
        <v>32</v>
      </c>
      <c r="J13" s="5" t="s">
        <v>10</v>
      </c>
      <c r="K13" s="3" t="s">
        <v>33</v>
      </c>
      <c r="L13" s="3" t="s">
        <v>41</v>
      </c>
      <c r="M13" s="3" t="s">
        <v>41</v>
      </c>
      <c r="N13" s="3" t="s">
        <v>13</v>
      </c>
      <c r="O13" s="3" t="s">
        <v>42</v>
      </c>
      <c r="P13" s="3" t="s">
        <v>15</v>
      </c>
      <c r="Q13" s="3" t="s">
        <v>44</v>
      </c>
      <c r="R13" s="3" t="s">
        <v>14</v>
      </c>
      <c r="S13" s="3" t="s">
        <v>54</v>
      </c>
      <c r="T13" s="3" t="s">
        <v>50</v>
      </c>
      <c r="U13" s="3" t="s">
        <v>37</v>
      </c>
    </row>
    <row r="14" spans="1:21" x14ac:dyDescent="0.3">
      <c r="A14" s="3">
        <v>12</v>
      </c>
      <c r="B14" s="3" t="s">
        <v>68</v>
      </c>
      <c r="C14" s="4" t="s">
        <v>4</v>
      </c>
      <c r="D14" s="3" t="s">
        <v>5</v>
      </c>
      <c r="E14" s="3" t="s">
        <v>23</v>
      </c>
      <c r="F14" s="3" t="s">
        <v>25</v>
      </c>
      <c r="G14" s="3" t="s">
        <v>62</v>
      </c>
      <c r="H14" s="3" t="s">
        <v>8</v>
      </c>
      <c r="I14" s="3" t="s">
        <v>32</v>
      </c>
      <c r="J14" s="5" t="s">
        <v>10</v>
      </c>
      <c r="K14" s="3" t="s">
        <v>11</v>
      </c>
      <c r="L14" s="3" t="s">
        <v>41</v>
      </c>
      <c r="M14" s="3" t="s">
        <v>41</v>
      </c>
      <c r="N14" s="3" t="s">
        <v>28</v>
      </c>
      <c r="O14" s="3" t="s">
        <v>14</v>
      </c>
      <c r="P14" s="3" t="s">
        <v>15</v>
      </c>
      <c r="Q14" s="3" t="s">
        <v>16</v>
      </c>
      <c r="R14" s="3" t="s">
        <v>14</v>
      </c>
      <c r="S14" s="3" t="s">
        <v>18</v>
      </c>
      <c r="T14" s="3" t="s">
        <v>50</v>
      </c>
      <c r="U14" s="3" t="s">
        <v>37</v>
      </c>
    </row>
    <row r="15" spans="1:21" ht="28.8" x14ac:dyDescent="0.3">
      <c r="A15" s="3">
        <v>13</v>
      </c>
      <c r="B15" s="5" t="s">
        <v>69</v>
      </c>
      <c r="C15" s="3" t="s">
        <v>4</v>
      </c>
      <c r="D15" s="3" t="s">
        <v>5</v>
      </c>
      <c r="E15" s="3" t="s">
        <v>23</v>
      </c>
      <c r="F15" s="3" t="s">
        <v>25</v>
      </c>
      <c r="G15" s="3" t="s">
        <v>31</v>
      </c>
      <c r="H15" s="3" t="s">
        <v>8</v>
      </c>
      <c r="I15" s="3" t="s">
        <v>9</v>
      </c>
      <c r="J15" s="5" t="s">
        <v>63</v>
      </c>
      <c r="K15" s="3" t="s">
        <v>33</v>
      </c>
      <c r="L15" s="3" t="s">
        <v>41</v>
      </c>
      <c r="M15" s="3" t="s">
        <v>41</v>
      </c>
      <c r="N15" s="3" t="s">
        <v>28</v>
      </c>
      <c r="O15" s="3" t="s">
        <v>14</v>
      </c>
      <c r="P15" s="3" t="s">
        <v>15</v>
      </c>
      <c r="Q15" s="3" t="s">
        <v>44</v>
      </c>
      <c r="R15" s="3" t="s">
        <v>14</v>
      </c>
      <c r="S15" s="3" t="s">
        <v>45</v>
      </c>
      <c r="T15" s="3" t="s">
        <v>50</v>
      </c>
      <c r="U15" s="3" t="s">
        <v>29</v>
      </c>
    </row>
    <row r="16" spans="1:21" ht="28.8" x14ac:dyDescent="0.3">
      <c r="A16" s="3">
        <v>14</v>
      </c>
      <c r="B16" s="5" t="s">
        <v>70</v>
      </c>
      <c r="C16" s="3" t="s">
        <v>4</v>
      </c>
      <c r="D16" s="3" t="s">
        <v>5</v>
      </c>
      <c r="E16" s="3" t="s">
        <v>23</v>
      </c>
      <c r="F16" s="3" t="s">
        <v>25</v>
      </c>
      <c r="G16" s="3" t="s">
        <v>62</v>
      </c>
      <c r="H16" s="3" t="s">
        <v>57</v>
      </c>
      <c r="I16" s="3" t="s">
        <v>9</v>
      </c>
      <c r="J16" s="5" t="s">
        <v>63</v>
      </c>
      <c r="K16" s="3" t="s">
        <v>33</v>
      </c>
      <c r="L16" s="3" t="s">
        <v>41</v>
      </c>
      <c r="M16" s="3" t="s">
        <v>41</v>
      </c>
      <c r="N16" s="3" t="s">
        <v>13</v>
      </c>
      <c r="O16" s="3" t="s">
        <v>14</v>
      </c>
      <c r="P16" s="3" t="s">
        <v>15</v>
      </c>
      <c r="Q16" s="3" t="s">
        <v>44</v>
      </c>
      <c r="R16" s="3" t="s">
        <v>14</v>
      </c>
      <c r="S16" s="3" t="s">
        <v>45</v>
      </c>
      <c r="T16" s="3" t="s">
        <v>50</v>
      </c>
      <c r="U16" s="3" t="s">
        <v>29</v>
      </c>
    </row>
    <row r="17" spans="21:21" x14ac:dyDescent="0.3">
      <c r="U17" s="3"/>
    </row>
  </sheetData>
  <autoFilter ref="B2:U2" xr:uid="{D358BE31-CBFF-4B5E-83D3-31A28807BCA2}"/>
  <mergeCells count="1">
    <mergeCell ref="A1:U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7D2AE-2DE6-4DC6-8C6C-B365F863B6FE}">
  <dimension ref="A1:U15"/>
  <sheetViews>
    <sheetView topLeftCell="A2" zoomScale="103" zoomScaleNormal="145" workbookViewId="0">
      <selection activeCell="D18" sqref="D18"/>
    </sheetView>
  </sheetViews>
  <sheetFormatPr defaultRowHeight="14.4" x14ac:dyDescent="0.3"/>
  <cols>
    <col min="1" max="1" width="8.44140625" customWidth="1"/>
    <col min="2" max="2" width="13.5546875" bestFit="1" customWidth="1"/>
    <col min="3" max="3" width="11.44140625" style="3" bestFit="1" customWidth="1"/>
    <col min="4" max="4" width="12" bestFit="1" customWidth="1"/>
    <col min="5" max="5" width="18.109375" bestFit="1" customWidth="1"/>
    <col min="6" max="6" width="20.44140625" customWidth="1"/>
    <col min="7" max="7" width="20.44140625" bestFit="1" customWidth="1"/>
    <col min="8" max="8" width="14.6640625" customWidth="1"/>
    <col min="9" max="9" width="18" bestFit="1" customWidth="1"/>
    <col min="10" max="10" width="23.5546875" bestFit="1" customWidth="1"/>
    <col min="11" max="11" width="21.33203125" style="12" customWidth="1"/>
    <col min="12" max="12" width="15.88671875" style="12" customWidth="1"/>
    <col min="13" max="13" width="16.88671875" style="12" customWidth="1"/>
    <col min="14" max="14" width="19.109375" customWidth="1"/>
    <col min="15" max="15" width="22.44140625" customWidth="1"/>
    <col min="16" max="16" width="19.33203125" customWidth="1"/>
    <col min="17" max="17" width="29.33203125" bestFit="1" customWidth="1"/>
    <col min="18" max="18" width="16.6640625" bestFit="1" customWidth="1"/>
    <col min="19" max="19" width="23.6640625" style="12" customWidth="1"/>
    <col min="20" max="20" width="27.33203125" customWidth="1"/>
    <col min="21" max="21" width="17.5546875" bestFit="1" customWidth="1"/>
  </cols>
  <sheetData>
    <row r="1" spans="1:21" ht="43.2" customHeight="1" x14ac:dyDescent="0.3">
      <c r="A1" s="9" t="s">
        <v>71</v>
      </c>
      <c r="B1" s="10" t="s">
        <v>0</v>
      </c>
      <c r="C1" s="10" t="s">
        <v>91</v>
      </c>
      <c r="D1" s="10" t="s">
        <v>92</v>
      </c>
      <c r="E1" s="10" t="s">
        <v>96</v>
      </c>
      <c r="F1" s="10" t="s">
        <v>93</v>
      </c>
      <c r="G1" s="10" t="s">
        <v>109</v>
      </c>
      <c r="H1" s="10" t="s">
        <v>94</v>
      </c>
      <c r="I1" s="10" t="s">
        <v>97</v>
      </c>
      <c r="J1" s="10" t="s">
        <v>98</v>
      </c>
      <c r="K1" s="10" t="s">
        <v>99</v>
      </c>
      <c r="L1" s="10" t="s">
        <v>100</v>
      </c>
      <c r="M1" s="10" t="s">
        <v>95</v>
      </c>
      <c r="N1" s="10" t="s">
        <v>101</v>
      </c>
      <c r="O1" s="10" t="s">
        <v>102</v>
      </c>
      <c r="P1" s="11" t="s">
        <v>103</v>
      </c>
      <c r="Q1" s="10" t="s">
        <v>104</v>
      </c>
      <c r="R1" s="10" t="s">
        <v>105</v>
      </c>
      <c r="S1" s="10" t="s">
        <v>106</v>
      </c>
      <c r="T1" s="10" t="s">
        <v>107</v>
      </c>
      <c r="U1" s="10" t="s">
        <v>108</v>
      </c>
    </row>
    <row r="2" spans="1:21" ht="28.8" x14ac:dyDescent="0.3">
      <c r="A2" s="5">
        <v>1</v>
      </c>
      <c r="B2" s="5" t="s">
        <v>3</v>
      </c>
      <c r="C2" s="5" t="s">
        <v>4</v>
      </c>
      <c r="D2" s="5" t="s">
        <v>5</v>
      </c>
      <c r="E2" s="5" t="s">
        <v>6</v>
      </c>
      <c r="F2" s="5" t="s">
        <v>25</v>
      </c>
      <c r="G2" s="5" t="s">
        <v>7</v>
      </c>
      <c r="H2" s="5" t="s">
        <v>8</v>
      </c>
      <c r="I2" s="5" t="s">
        <v>9</v>
      </c>
      <c r="J2" s="5" t="s">
        <v>10</v>
      </c>
      <c r="K2" s="5" t="s">
        <v>11</v>
      </c>
      <c r="L2" s="5" t="s">
        <v>12</v>
      </c>
      <c r="M2" s="5" t="s">
        <v>12</v>
      </c>
      <c r="N2" s="5" t="s">
        <v>13</v>
      </c>
      <c r="O2" s="5" t="s">
        <v>14</v>
      </c>
      <c r="P2" s="5" t="s">
        <v>15</v>
      </c>
      <c r="Q2" s="5" t="s">
        <v>16</v>
      </c>
      <c r="R2" s="5" t="s">
        <v>17</v>
      </c>
      <c r="S2" s="5" t="s">
        <v>18</v>
      </c>
      <c r="T2" s="5" t="s">
        <v>19</v>
      </c>
      <c r="U2" s="5" t="s">
        <v>20</v>
      </c>
    </row>
    <row r="3" spans="1:21" ht="28.8" x14ac:dyDescent="0.3">
      <c r="A3" s="5">
        <v>2</v>
      </c>
      <c r="B3" s="5" t="s">
        <v>21</v>
      </c>
      <c r="C3" s="5" t="s">
        <v>4</v>
      </c>
      <c r="D3" s="5" t="s">
        <v>22</v>
      </c>
      <c r="E3" s="5" t="s">
        <v>23</v>
      </c>
      <c r="F3" s="5" t="s">
        <v>24</v>
      </c>
      <c r="G3" s="5" t="s">
        <v>26</v>
      </c>
      <c r="H3" s="5" t="s">
        <v>8</v>
      </c>
      <c r="I3" s="5" t="s">
        <v>9</v>
      </c>
      <c r="J3" s="5" t="s">
        <v>27</v>
      </c>
      <c r="K3" s="5" t="s">
        <v>11</v>
      </c>
      <c r="L3" s="5" t="s">
        <v>12</v>
      </c>
      <c r="M3" s="5" t="s">
        <v>12</v>
      </c>
      <c r="N3" s="5" t="s">
        <v>28</v>
      </c>
      <c r="O3" s="5" t="s">
        <v>14</v>
      </c>
      <c r="P3" s="5" t="s">
        <v>15</v>
      </c>
      <c r="Q3" s="5" t="s">
        <v>16</v>
      </c>
      <c r="R3" s="5" t="s">
        <v>14</v>
      </c>
      <c r="S3" s="5" t="s">
        <v>18</v>
      </c>
      <c r="T3" s="5" t="s">
        <v>19</v>
      </c>
      <c r="U3" s="5" t="s">
        <v>29</v>
      </c>
    </row>
    <row r="4" spans="1:21" ht="28.8" x14ac:dyDescent="0.3">
      <c r="A4" s="5">
        <v>3</v>
      </c>
      <c r="B4" s="5" t="s">
        <v>30</v>
      </c>
      <c r="C4" s="5" t="s">
        <v>4</v>
      </c>
      <c r="D4" s="5" t="s">
        <v>5</v>
      </c>
      <c r="E4" s="5" t="s">
        <v>23</v>
      </c>
      <c r="F4" s="5" t="s">
        <v>25</v>
      </c>
      <c r="G4" s="5" t="s">
        <v>31</v>
      </c>
      <c r="H4" s="5" t="s">
        <v>8</v>
      </c>
      <c r="I4" s="5" t="s">
        <v>32</v>
      </c>
      <c r="J4" s="5" t="s">
        <v>10</v>
      </c>
      <c r="K4" s="5" t="s">
        <v>33</v>
      </c>
      <c r="L4" s="5" t="s">
        <v>34</v>
      </c>
      <c r="M4" s="5" t="s">
        <v>35</v>
      </c>
      <c r="N4" s="5" t="s">
        <v>28</v>
      </c>
      <c r="O4" s="5" t="s">
        <v>14</v>
      </c>
      <c r="P4" s="5" t="s">
        <v>36</v>
      </c>
      <c r="Q4" s="5" t="s">
        <v>16</v>
      </c>
      <c r="R4" s="5" t="s">
        <v>14</v>
      </c>
      <c r="S4" s="5" t="s">
        <v>18</v>
      </c>
      <c r="T4" s="5" t="s">
        <v>19</v>
      </c>
      <c r="U4" s="5" t="s">
        <v>37</v>
      </c>
    </row>
    <row r="5" spans="1:21" ht="28.8" x14ac:dyDescent="0.3">
      <c r="A5" s="5">
        <v>4</v>
      </c>
      <c r="B5" s="5" t="s">
        <v>38</v>
      </c>
      <c r="C5" s="5" t="s">
        <v>4</v>
      </c>
      <c r="D5" s="5" t="s">
        <v>39</v>
      </c>
      <c r="E5" s="5" t="s">
        <v>23</v>
      </c>
      <c r="F5" s="5" t="s">
        <v>25</v>
      </c>
      <c r="G5" s="5" t="s">
        <v>31</v>
      </c>
      <c r="H5" s="5" t="s">
        <v>40</v>
      </c>
      <c r="I5" s="5" t="s">
        <v>9</v>
      </c>
      <c r="J5" s="5" t="s">
        <v>10</v>
      </c>
      <c r="K5" s="5" t="s">
        <v>33</v>
      </c>
      <c r="L5" s="5" t="s">
        <v>41</v>
      </c>
      <c r="M5" s="5" t="s">
        <v>41</v>
      </c>
      <c r="N5" s="5" t="s">
        <v>13</v>
      </c>
      <c r="O5" s="5" t="s">
        <v>42</v>
      </c>
      <c r="P5" s="5" t="s">
        <v>43</v>
      </c>
      <c r="Q5" s="5" t="s">
        <v>44</v>
      </c>
      <c r="R5" s="5" t="s">
        <v>17</v>
      </c>
      <c r="S5" s="5" t="s">
        <v>45</v>
      </c>
      <c r="T5" s="5" t="s">
        <v>19</v>
      </c>
      <c r="U5" s="5" t="s">
        <v>37</v>
      </c>
    </row>
    <row r="6" spans="1:21" ht="28.8" x14ac:dyDescent="0.3">
      <c r="A6" s="5">
        <v>5</v>
      </c>
      <c r="B6" s="5" t="s">
        <v>46</v>
      </c>
      <c r="C6" s="5" t="s">
        <v>4</v>
      </c>
      <c r="D6" s="5" t="s">
        <v>39</v>
      </c>
      <c r="E6" s="5" t="s">
        <v>23</v>
      </c>
      <c r="F6" s="5" t="s">
        <v>25</v>
      </c>
      <c r="G6" s="5" t="s">
        <v>31</v>
      </c>
      <c r="H6" s="5" t="s">
        <v>40</v>
      </c>
      <c r="I6" s="5" t="s">
        <v>47</v>
      </c>
      <c r="J6" s="5" t="s">
        <v>48</v>
      </c>
      <c r="K6" s="5" t="s">
        <v>33</v>
      </c>
      <c r="L6" s="5" t="s">
        <v>41</v>
      </c>
      <c r="M6" s="5" t="s">
        <v>41</v>
      </c>
      <c r="N6" s="5" t="s">
        <v>13</v>
      </c>
      <c r="O6" s="5" t="s">
        <v>14</v>
      </c>
      <c r="P6" s="5" t="s">
        <v>15</v>
      </c>
      <c r="Q6" s="5" t="s">
        <v>49</v>
      </c>
      <c r="R6" s="5" t="s">
        <v>17</v>
      </c>
      <c r="S6" s="5" t="s">
        <v>18</v>
      </c>
      <c r="T6" s="5" t="s">
        <v>50</v>
      </c>
      <c r="U6" s="5" t="s">
        <v>37</v>
      </c>
    </row>
    <row r="7" spans="1:21" ht="28.8" x14ac:dyDescent="0.3">
      <c r="A7" s="5">
        <v>6</v>
      </c>
      <c r="B7" s="5" t="s">
        <v>51</v>
      </c>
      <c r="C7" s="5" t="s">
        <v>4</v>
      </c>
      <c r="D7" s="5" t="s">
        <v>39</v>
      </c>
      <c r="E7" s="5" t="s">
        <v>23</v>
      </c>
      <c r="F7" s="5" t="s">
        <v>52</v>
      </c>
      <c r="G7" s="5" t="s">
        <v>52</v>
      </c>
      <c r="H7" s="5" t="s">
        <v>40</v>
      </c>
      <c r="I7" s="5" t="s">
        <v>47</v>
      </c>
      <c r="J7" s="5" t="s">
        <v>48</v>
      </c>
      <c r="K7" s="5" t="s">
        <v>33</v>
      </c>
      <c r="L7" s="5" t="s">
        <v>41</v>
      </c>
      <c r="M7" s="5" t="s">
        <v>41</v>
      </c>
      <c r="N7" s="5" t="s">
        <v>53</v>
      </c>
      <c r="O7" s="5" t="s">
        <v>14</v>
      </c>
      <c r="P7" s="5" t="s">
        <v>36</v>
      </c>
      <c r="Q7" s="5" t="s">
        <v>16</v>
      </c>
      <c r="R7" s="5" t="s">
        <v>17</v>
      </c>
      <c r="S7" s="5" t="s">
        <v>54</v>
      </c>
      <c r="T7" s="5" t="s">
        <v>19</v>
      </c>
      <c r="U7" s="5" t="s">
        <v>37</v>
      </c>
    </row>
    <row r="8" spans="1:21" ht="28.8" x14ac:dyDescent="0.3">
      <c r="A8" s="5">
        <v>7</v>
      </c>
      <c r="B8" s="5" t="s">
        <v>55</v>
      </c>
      <c r="C8" s="5" t="s">
        <v>4</v>
      </c>
      <c r="D8" s="5" t="s">
        <v>39</v>
      </c>
      <c r="E8" s="5" t="s">
        <v>23</v>
      </c>
      <c r="F8" s="5" t="s">
        <v>25</v>
      </c>
      <c r="G8" s="5" t="s">
        <v>56</v>
      </c>
      <c r="H8" s="5" t="s">
        <v>57</v>
      </c>
      <c r="I8" s="5" t="s">
        <v>9</v>
      </c>
      <c r="J8" s="5" t="s">
        <v>58</v>
      </c>
      <c r="K8" s="5" t="s">
        <v>11</v>
      </c>
      <c r="L8" s="5" t="s">
        <v>12</v>
      </c>
      <c r="M8" s="5" t="s">
        <v>35</v>
      </c>
      <c r="N8" s="5" t="s">
        <v>53</v>
      </c>
      <c r="O8" s="5" t="s">
        <v>14</v>
      </c>
      <c r="P8" s="5" t="s">
        <v>36</v>
      </c>
      <c r="Q8" s="5" t="s">
        <v>49</v>
      </c>
      <c r="R8" s="5" t="s">
        <v>14</v>
      </c>
      <c r="S8" s="5" t="s">
        <v>54</v>
      </c>
      <c r="T8" s="5" t="s">
        <v>50</v>
      </c>
      <c r="U8" s="5" t="s">
        <v>37</v>
      </c>
    </row>
    <row r="9" spans="1:21" ht="28.8" x14ac:dyDescent="0.3">
      <c r="A9" s="5">
        <v>8</v>
      </c>
      <c r="B9" s="5" t="s">
        <v>59</v>
      </c>
      <c r="C9" s="5" t="s">
        <v>4</v>
      </c>
      <c r="D9" s="5" t="s">
        <v>5</v>
      </c>
      <c r="E9" s="5" t="s">
        <v>23</v>
      </c>
      <c r="F9" s="5" t="s">
        <v>25</v>
      </c>
      <c r="G9" s="5" t="s">
        <v>62</v>
      </c>
      <c r="H9" s="5" t="s">
        <v>57</v>
      </c>
      <c r="I9" s="5" t="s">
        <v>32</v>
      </c>
      <c r="J9" s="5" t="s">
        <v>10</v>
      </c>
      <c r="K9" s="5" t="s">
        <v>33</v>
      </c>
      <c r="L9" s="5" t="s">
        <v>12</v>
      </c>
      <c r="M9" s="5" t="s">
        <v>35</v>
      </c>
      <c r="N9" s="5" t="s">
        <v>13</v>
      </c>
      <c r="O9" s="5" t="s">
        <v>60</v>
      </c>
      <c r="P9" s="5" t="s">
        <v>15</v>
      </c>
      <c r="Q9" s="5" t="s">
        <v>16</v>
      </c>
      <c r="R9" s="5" t="s">
        <v>17</v>
      </c>
      <c r="S9" s="5" t="s">
        <v>18</v>
      </c>
      <c r="T9" s="5" t="s">
        <v>19</v>
      </c>
      <c r="U9" s="5" t="s">
        <v>37</v>
      </c>
    </row>
    <row r="10" spans="1:21" ht="28.8" x14ac:dyDescent="0.3">
      <c r="A10" s="5">
        <v>9</v>
      </c>
      <c r="B10" s="5" t="s">
        <v>61</v>
      </c>
      <c r="C10" s="5" t="s">
        <v>4</v>
      </c>
      <c r="D10" s="5" t="s">
        <v>5</v>
      </c>
      <c r="E10" s="5" t="s">
        <v>23</v>
      </c>
      <c r="F10" s="5" t="s">
        <v>25</v>
      </c>
      <c r="G10" s="5" t="s">
        <v>62</v>
      </c>
      <c r="H10" s="5" t="s">
        <v>57</v>
      </c>
      <c r="I10" s="5" t="s">
        <v>9</v>
      </c>
      <c r="J10" s="5" t="s">
        <v>63</v>
      </c>
      <c r="K10" s="5" t="s">
        <v>11</v>
      </c>
      <c r="L10" s="5" t="s">
        <v>12</v>
      </c>
      <c r="M10" s="5" t="s">
        <v>12</v>
      </c>
      <c r="N10" s="5" t="s">
        <v>13</v>
      </c>
      <c r="O10" s="5" t="s">
        <v>14</v>
      </c>
      <c r="P10" s="5" t="s">
        <v>36</v>
      </c>
      <c r="Q10" s="5" t="s">
        <v>16</v>
      </c>
      <c r="R10" s="5" t="s">
        <v>17</v>
      </c>
      <c r="S10" s="5" t="s">
        <v>64</v>
      </c>
      <c r="T10" s="5" t="s">
        <v>50</v>
      </c>
      <c r="U10" s="5" t="s">
        <v>37</v>
      </c>
    </row>
    <row r="11" spans="1:21" ht="28.8" x14ac:dyDescent="0.3">
      <c r="A11" s="5">
        <v>10</v>
      </c>
      <c r="B11" s="5" t="s">
        <v>65</v>
      </c>
      <c r="C11" s="5" t="s">
        <v>4</v>
      </c>
      <c r="D11" s="5" t="s">
        <v>5</v>
      </c>
      <c r="E11" s="5" t="s">
        <v>23</v>
      </c>
      <c r="F11" s="5" t="s">
        <v>25</v>
      </c>
      <c r="G11" s="5" t="s">
        <v>62</v>
      </c>
      <c r="H11" s="5" t="s">
        <v>8</v>
      </c>
      <c r="I11" s="5" t="s">
        <v>9</v>
      </c>
      <c r="J11" s="5" t="s">
        <v>10</v>
      </c>
      <c r="K11" s="5" t="s">
        <v>11</v>
      </c>
      <c r="L11" s="5" t="s">
        <v>12</v>
      </c>
      <c r="M11" s="5" t="s">
        <v>12</v>
      </c>
      <c r="N11" s="5" t="s">
        <v>13</v>
      </c>
      <c r="O11" s="5" t="s">
        <v>14</v>
      </c>
      <c r="P11" s="5" t="s">
        <v>36</v>
      </c>
      <c r="Q11" s="5" t="s">
        <v>16</v>
      </c>
      <c r="R11" s="5" t="s">
        <v>17</v>
      </c>
      <c r="S11" s="5" t="s">
        <v>18</v>
      </c>
      <c r="T11" s="5" t="s">
        <v>66</v>
      </c>
      <c r="U11" s="5" t="s">
        <v>37</v>
      </c>
    </row>
    <row r="12" spans="1:21" ht="28.8" x14ac:dyDescent="0.3">
      <c r="A12" s="5">
        <v>11</v>
      </c>
      <c r="B12" s="5" t="s">
        <v>67</v>
      </c>
      <c r="C12" s="5" t="s">
        <v>4</v>
      </c>
      <c r="D12" s="5" t="s">
        <v>5</v>
      </c>
      <c r="E12" s="5" t="s">
        <v>23</v>
      </c>
      <c r="F12" s="5" t="s">
        <v>25</v>
      </c>
      <c r="G12" s="5" t="s">
        <v>31</v>
      </c>
      <c r="H12" s="5" t="s">
        <v>57</v>
      </c>
      <c r="I12" s="5" t="s">
        <v>32</v>
      </c>
      <c r="J12" s="5" t="s">
        <v>10</v>
      </c>
      <c r="K12" s="5" t="s">
        <v>33</v>
      </c>
      <c r="L12" s="5" t="s">
        <v>41</v>
      </c>
      <c r="M12" s="5" t="s">
        <v>41</v>
      </c>
      <c r="N12" s="5" t="s">
        <v>13</v>
      </c>
      <c r="O12" s="5" t="s">
        <v>42</v>
      </c>
      <c r="P12" s="5" t="s">
        <v>15</v>
      </c>
      <c r="Q12" s="5" t="s">
        <v>44</v>
      </c>
      <c r="R12" s="5" t="s">
        <v>14</v>
      </c>
      <c r="S12" s="5" t="s">
        <v>54</v>
      </c>
      <c r="T12" s="5" t="s">
        <v>50</v>
      </c>
      <c r="U12" s="5" t="s">
        <v>37</v>
      </c>
    </row>
    <row r="13" spans="1:21" ht="28.8" x14ac:dyDescent="0.3">
      <c r="A13" s="5">
        <v>12</v>
      </c>
      <c r="B13" s="5" t="s">
        <v>68</v>
      </c>
      <c r="C13" s="5" t="s">
        <v>4</v>
      </c>
      <c r="D13" s="5" t="s">
        <v>5</v>
      </c>
      <c r="E13" s="5" t="s">
        <v>23</v>
      </c>
      <c r="F13" s="5" t="s">
        <v>25</v>
      </c>
      <c r="G13" s="5" t="s">
        <v>62</v>
      </c>
      <c r="H13" s="5" t="s">
        <v>8</v>
      </c>
      <c r="I13" s="5" t="s">
        <v>32</v>
      </c>
      <c r="J13" s="5" t="s">
        <v>10</v>
      </c>
      <c r="K13" s="5" t="s">
        <v>11</v>
      </c>
      <c r="L13" s="5" t="s">
        <v>41</v>
      </c>
      <c r="M13" s="5" t="s">
        <v>41</v>
      </c>
      <c r="N13" s="5" t="s">
        <v>28</v>
      </c>
      <c r="O13" s="5" t="s">
        <v>14</v>
      </c>
      <c r="P13" s="5" t="s">
        <v>15</v>
      </c>
      <c r="Q13" s="5" t="s">
        <v>16</v>
      </c>
      <c r="R13" s="5" t="s">
        <v>14</v>
      </c>
      <c r="S13" s="5" t="s">
        <v>18</v>
      </c>
      <c r="T13" s="5" t="s">
        <v>50</v>
      </c>
      <c r="U13" s="5" t="s">
        <v>37</v>
      </c>
    </row>
    <row r="14" spans="1:21" ht="28.8" x14ac:dyDescent="0.3">
      <c r="A14" s="5">
        <v>13</v>
      </c>
      <c r="B14" s="5" t="s">
        <v>69</v>
      </c>
      <c r="C14" s="5" t="s">
        <v>4</v>
      </c>
      <c r="D14" s="5" t="s">
        <v>5</v>
      </c>
      <c r="E14" s="5" t="s">
        <v>23</v>
      </c>
      <c r="F14" s="5" t="s">
        <v>25</v>
      </c>
      <c r="G14" s="5" t="s">
        <v>31</v>
      </c>
      <c r="H14" s="5" t="s">
        <v>8</v>
      </c>
      <c r="I14" s="5" t="s">
        <v>9</v>
      </c>
      <c r="J14" s="5" t="s">
        <v>63</v>
      </c>
      <c r="K14" s="5" t="s">
        <v>33</v>
      </c>
      <c r="L14" s="5" t="s">
        <v>41</v>
      </c>
      <c r="M14" s="5" t="s">
        <v>41</v>
      </c>
      <c r="N14" s="5" t="s">
        <v>28</v>
      </c>
      <c r="O14" s="5" t="s">
        <v>14</v>
      </c>
      <c r="P14" s="5" t="s">
        <v>15</v>
      </c>
      <c r="Q14" s="5" t="s">
        <v>44</v>
      </c>
      <c r="R14" s="5" t="s">
        <v>14</v>
      </c>
      <c r="S14" s="5" t="s">
        <v>45</v>
      </c>
      <c r="T14" s="5" t="s">
        <v>50</v>
      </c>
      <c r="U14" s="5" t="s">
        <v>29</v>
      </c>
    </row>
    <row r="15" spans="1:21" ht="28.8" x14ac:dyDescent="0.3">
      <c r="A15" s="5">
        <v>14</v>
      </c>
      <c r="B15" s="5" t="s">
        <v>70</v>
      </c>
      <c r="C15" s="5" t="s">
        <v>4</v>
      </c>
      <c r="D15" s="5" t="s">
        <v>5</v>
      </c>
      <c r="E15" s="5" t="s">
        <v>23</v>
      </c>
      <c r="F15" s="5" t="s">
        <v>25</v>
      </c>
      <c r="G15" s="5" t="s">
        <v>62</v>
      </c>
      <c r="H15" s="5" t="s">
        <v>57</v>
      </c>
      <c r="I15" s="5" t="s">
        <v>9</v>
      </c>
      <c r="J15" s="5" t="s">
        <v>63</v>
      </c>
      <c r="K15" s="5" t="s">
        <v>33</v>
      </c>
      <c r="L15" s="5" t="s">
        <v>41</v>
      </c>
      <c r="M15" s="5" t="s">
        <v>41</v>
      </c>
      <c r="N15" s="5" t="s">
        <v>13</v>
      </c>
      <c r="O15" s="5" t="s">
        <v>14</v>
      </c>
      <c r="P15" s="5" t="s">
        <v>15</v>
      </c>
      <c r="Q15" s="5" t="s">
        <v>44</v>
      </c>
      <c r="R15" s="5" t="s">
        <v>14</v>
      </c>
      <c r="S15" s="5" t="s">
        <v>45</v>
      </c>
      <c r="T15" s="5" t="s">
        <v>50</v>
      </c>
      <c r="U15" s="5"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D2BF3-D21F-4F14-85C0-9355B621D55A}">
  <dimension ref="A5:I42"/>
  <sheetViews>
    <sheetView zoomScale="80" zoomScaleNormal="80" workbookViewId="0">
      <selection activeCell="K12" sqref="K12"/>
    </sheetView>
  </sheetViews>
  <sheetFormatPr defaultRowHeight="14.4" x14ac:dyDescent="0.3"/>
  <cols>
    <col min="1" max="1" width="35.21875" bestFit="1" customWidth="1"/>
    <col min="2" max="2" width="18.33203125" bestFit="1" customWidth="1"/>
    <col min="5" max="5" width="24.33203125" bestFit="1" customWidth="1"/>
    <col min="6" max="6" width="14.88671875" bestFit="1" customWidth="1"/>
    <col min="9" max="9" width="14.33203125" bestFit="1" customWidth="1"/>
  </cols>
  <sheetData>
    <row r="5" spans="1:9" x14ac:dyDescent="0.3">
      <c r="A5" t="s">
        <v>110</v>
      </c>
      <c r="E5" t="s">
        <v>112</v>
      </c>
    </row>
    <row r="7" spans="1:9" x14ac:dyDescent="0.3">
      <c r="A7" s="7" t="s">
        <v>117</v>
      </c>
      <c r="B7" t="s">
        <v>116</v>
      </c>
      <c r="E7" s="7" t="s">
        <v>122</v>
      </c>
      <c r="F7" t="s">
        <v>123</v>
      </c>
    </row>
    <row r="8" spans="1:9" x14ac:dyDescent="0.3">
      <c r="A8" s="8" t="s">
        <v>25</v>
      </c>
      <c r="B8">
        <v>12</v>
      </c>
      <c r="E8" s="8" t="s">
        <v>16</v>
      </c>
      <c r="F8">
        <v>8</v>
      </c>
    </row>
    <row r="9" spans="1:9" x14ac:dyDescent="0.3">
      <c r="A9" s="8" t="s">
        <v>90</v>
      </c>
      <c r="B9">
        <v>1</v>
      </c>
      <c r="E9" s="8" t="s">
        <v>44</v>
      </c>
      <c r="F9">
        <v>4</v>
      </c>
    </row>
    <row r="10" spans="1:9" x14ac:dyDescent="0.3">
      <c r="A10" s="8" t="s">
        <v>52</v>
      </c>
      <c r="B10">
        <v>1</v>
      </c>
      <c r="E10" s="8" t="s">
        <v>49</v>
      </c>
      <c r="F10">
        <v>2</v>
      </c>
      <c r="I10" t="str">
        <f>INDEX(E8:E10, MATCH(MAX(F8:F10), F8:F10, 0))</f>
        <v>Taste</v>
      </c>
    </row>
    <row r="14" spans="1:9" x14ac:dyDescent="0.3">
      <c r="A14" s="7" t="s">
        <v>118</v>
      </c>
      <c r="B14" t="s">
        <v>116</v>
      </c>
      <c r="E14" t="s">
        <v>113</v>
      </c>
    </row>
    <row r="15" spans="1:9" x14ac:dyDescent="0.3">
      <c r="A15" s="8" t="s">
        <v>62</v>
      </c>
      <c r="B15">
        <v>5</v>
      </c>
    </row>
    <row r="16" spans="1:9" x14ac:dyDescent="0.3">
      <c r="A16" s="8" t="s">
        <v>31</v>
      </c>
      <c r="B16">
        <v>5</v>
      </c>
      <c r="E16" s="7" t="s">
        <v>121</v>
      </c>
      <c r="F16" t="s">
        <v>124</v>
      </c>
    </row>
    <row r="17" spans="1:6" x14ac:dyDescent="0.3">
      <c r="A17" s="8" t="s">
        <v>52</v>
      </c>
      <c r="B17">
        <v>1</v>
      </c>
      <c r="E17" s="8" t="s">
        <v>41</v>
      </c>
      <c r="F17">
        <v>7</v>
      </c>
    </row>
    <row r="18" spans="1:6" x14ac:dyDescent="0.3">
      <c r="A18" s="8" t="s">
        <v>7</v>
      </c>
      <c r="B18">
        <v>1</v>
      </c>
      <c r="E18" s="8" t="s">
        <v>12</v>
      </c>
      <c r="F18">
        <v>4</v>
      </c>
    </row>
    <row r="19" spans="1:6" x14ac:dyDescent="0.3">
      <c r="A19" s="8" t="s">
        <v>56</v>
      </c>
      <c r="B19">
        <v>1</v>
      </c>
      <c r="E19" s="8" t="s">
        <v>35</v>
      </c>
      <c r="F19">
        <v>3</v>
      </c>
    </row>
    <row r="20" spans="1:6" x14ac:dyDescent="0.3">
      <c r="A20" s="8" t="s">
        <v>26</v>
      </c>
      <c r="B20">
        <v>1</v>
      </c>
    </row>
    <row r="24" spans="1:6" x14ac:dyDescent="0.3">
      <c r="E24" t="s">
        <v>114</v>
      </c>
    </row>
    <row r="26" spans="1:6" x14ac:dyDescent="0.3">
      <c r="A26" t="s">
        <v>111</v>
      </c>
      <c r="E26" s="7" t="s">
        <v>127</v>
      </c>
      <c r="F26" t="s">
        <v>128</v>
      </c>
    </row>
    <row r="27" spans="1:6" x14ac:dyDescent="0.3">
      <c r="E27" s="8" t="s">
        <v>10</v>
      </c>
      <c r="F27">
        <v>7</v>
      </c>
    </row>
    <row r="28" spans="1:6" x14ac:dyDescent="0.3">
      <c r="A28" s="7" t="s">
        <v>119</v>
      </c>
      <c r="B28" t="s">
        <v>120</v>
      </c>
      <c r="E28" s="8" t="s">
        <v>63</v>
      </c>
      <c r="F28">
        <v>3</v>
      </c>
    </row>
    <row r="29" spans="1:6" x14ac:dyDescent="0.3">
      <c r="A29" s="8" t="s">
        <v>33</v>
      </c>
      <c r="B29">
        <v>8</v>
      </c>
      <c r="E29" s="8" t="s">
        <v>48</v>
      </c>
      <c r="F29">
        <v>2</v>
      </c>
    </row>
    <row r="30" spans="1:6" x14ac:dyDescent="0.3">
      <c r="A30" s="8" t="s">
        <v>11</v>
      </c>
      <c r="B30">
        <v>6</v>
      </c>
      <c r="E30" s="8" t="s">
        <v>58</v>
      </c>
      <c r="F30">
        <v>1</v>
      </c>
    </row>
    <row r="31" spans="1:6" x14ac:dyDescent="0.3">
      <c r="E31" s="8" t="s">
        <v>27</v>
      </c>
      <c r="F31">
        <v>1</v>
      </c>
    </row>
    <row r="35" spans="1:5" x14ac:dyDescent="0.3">
      <c r="A35" t="s">
        <v>115</v>
      </c>
    </row>
    <row r="36" spans="1:5" x14ac:dyDescent="0.3">
      <c r="E36" t="s">
        <v>129</v>
      </c>
    </row>
    <row r="37" spans="1:5" x14ac:dyDescent="0.3">
      <c r="A37" s="7" t="s">
        <v>125</v>
      </c>
      <c r="B37" t="s">
        <v>126</v>
      </c>
      <c r="E37" t="s">
        <v>130</v>
      </c>
    </row>
    <row r="38" spans="1:5" x14ac:dyDescent="0.3">
      <c r="A38" s="8" t="s">
        <v>18</v>
      </c>
      <c r="B38">
        <v>7</v>
      </c>
      <c r="E38" t="s">
        <v>131</v>
      </c>
    </row>
    <row r="39" spans="1:5" x14ac:dyDescent="0.3">
      <c r="A39" s="8" t="s">
        <v>45</v>
      </c>
      <c r="B39">
        <v>3</v>
      </c>
      <c r="E39" t="s">
        <v>132</v>
      </c>
    </row>
    <row r="40" spans="1:5" x14ac:dyDescent="0.3">
      <c r="A40" s="8" t="s">
        <v>54</v>
      </c>
      <c r="B40">
        <v>3</v>
      </c>
      <c r="E40" t="s">
        <v>133</v>
      </c>
    </row>
    <row r="41" spans="1:5" x14ac:dyDescent="0.3">
      <c r="A41" s="8" t="s">
        <v>64</v>
      </c>
      <c r="B41">
        <v>1</v>
      </c>
      <c r="E41" t="s">
        <v>134</v>
      </c>
    </row>
    <row r="42" spans="1:5" x14ac:dyDescent="0.3">
      <c r="E42" t="s">
        <v>135</v>
      </c>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2329A-2233-4704-AAD7-15FAE5E8DC8E}">
  <dimension ref="A1:AJ54"/>
  <sheetViews>
    <sheetView showGridLines="0" showRowColHeaders="0" tabSelected="1" zoomScale="70" zoomScaleNormal="70" workbookViewId="0">
      <selection activeCell="AH44" sqref="AH44"/>
    </sheetView>
  </sheetViews>
  <sheetFormatPr defaultRowHeight="14.4" x14ac:dyDescent="0.3"/>
  <sheetData>
    <row r="1" spans="1:36" x14ac:dyDescent="0.3">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row>
    <row r="2" spans="1:36"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row>
    <row r="3" spans="1:36"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row>
    <row r="4" spans="1:36"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row>
    <row r="5" spans="1:36"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row>
    <row r="6" spans="1:36"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row>
    <row r="7" spans="1:36"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row>
    <row r="8" spans="1:36"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row>
    <row r="9" spans="1:36"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row>
    <row r="10" spans="1:36"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row>
    <row r="11" spans="1:36"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row>
    <row r="12" spans="1:36"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row>
    <row r="13" spans="1:36"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row>
    <row r="14" spans="1:36"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row>
    <row r="15" spans="1:36"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row>
    <row r="16" spans="1:36"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row>
    <row r="17" spans="1:36"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row>
    <row r="18" spans="1:36"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row>
    <row r="19" spans="1:36"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row>
    <row r="20" spans="1:36"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row>
    <row r="21" spans="1:36"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row>
    <row r="22" spans="1:36"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row>
    <row r="23" spans="1:36"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row>
    <row r="24" spans="1:36"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row>
    <row r="25" spans="1:36"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row>
    <row r="26" spans="1:36"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row>
    <row r="27" spans="1:36"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row>
    <row r="28" spans="1:36"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row>
    <row r="29" spans="1:36"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row>
    <row r="30" spans="1:36"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row>
    <row r="31" spans="1:36"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row>
    <row r="32" spans="1:36"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row>
    <row r="33" spans="1:36"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row>
    <row r="34" spans="1:36"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row>
    <row r="35" spans="1:36"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row>
    <row r="36" spans="1:36"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row>
    <row r="37" spans="1:36"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row>
    <row r="38" spans="1:36"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row>
    <row r="39" spans="1:36"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row>
    <row r="40" spans="1:36"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row>
    <row r="41" spans="1:36"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row>
    <row r="42" spans="1:36"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row>
    <row r="43" spans="1:36"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row>
    <row r="44" spans="1:36"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row>
    <row r="45" spans="1:36"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row>
    <row r="46" spans="1:36"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row>
    <row r="47" spans="1:36"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row>
    <row r="48" spans="1:36"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row>
    <row r="49" spans="1:36"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row>
    <row r="50" spans="1:36"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row>
    <row r="51" spans="1:36"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row>
    <row r="52" spans="1:36"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row>
    <row r="53" spans="1:36"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row>
    <row r="54" spans="1:36"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Sorted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2025-03-22T13:48:35Z</dcterms:created>
  <dcterms:modified xsi:type="dcterms:W3CDTF">2026-06-17T08:52:05Z</dcterms:modified>
</cp:coreProperties>
</file>